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e1energie-my.sharepoint.com/personal/felix_rundel_e1-energie_com/Documents/2 Buero/6 GPT_Python/260327_Quiz/"/>
    </mc:Choice>
  </mc:AlternateContent>
  <xr:revisionPtr revIDLastSave="59" documentId="13_ncr:1_{B0EB6149-C2FD-4210-8512-0016912FAB33}" xr6:coauthVersionLast="47" xr6:coauthVersionMax="47" xr10:uidLastSave="{0D13EEFD-8F28-499F-903C-6815A8541C30}"/>
  <bookViews>
    <workbookView xWindow="-28920" yWindow="-120" windowWidth="29040" windowHeight="15720" xr2:uid="{00000000-000D-0000-FFFF-FFFF00000000}"/>
  </bookViews>
  <sheets>
    <sheet name="Tabelle1" sheetId="1" r:id="rId1"/>
  </sheets>
  <definedNames>
    <definedName name="Kategorien">Tabelle1!$B$5:$B$16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" l="1"/>
  <c r="L6" i="1"/>
  <c r="L7" i="1"/>
  <c r="L8" i="1"/>
  <c r="L9" i="1"/>
  <c r="L10" i="1"/>
  <c r="L11" i="1"/>
  <c r="L12" i="1"/>
  <c r="L13" i="1"/>
  <c r="L14" i="1"/>
  <c r="L15" i="1"/>
  <c r="L16" i="1"/>
  <c r="L18" i="1"/>
  <c r="T35" i="1"/>
  <c r="P35" i="1"/>
  <c r="L35" i="1"/>
  <c r="H35" i="1"/>
  <c r="U35" i="1" s="1"/>
  <c r="K5" i="1"/>
  <c r="K6" i="1"/>
  <c r="K7" i="1"/>
  <c r="K8" i="1"/>
  <c r="K9" i="1"/>
  <c r="K10" i="1"/>
  <c r="K11" i="1"/>
  <c r="K12" i="1"/>
  <c r="K13" i="1"/>
  <c r="K14" i="1"/>
  <c r="K15" i="1"/>
  <c r="K16" i="1"/>
  <c r="Y33" i="1" a="1"/>
  <c r="Y33" i="1" s="1"/>
  <c r="T33" i="1"/>
  <c r="P33" i="1"/>
  <c r="L33" i="1"/>
  <c r="H33" i="1"/>
  <c r="U33" i="1" s="1"/>
  <c r="AA31" i="1"/>
  <c r="AA29" i="1"/>
  <c r="AA27" i="1"/>
  <c r="AA25" i="1"/>
  <c r="T31" i="1"/>
  <c r="P31" i="1"/>
  <c r="L31" i="1"/>
  <c r="H31" i="1"/>
  <c r="U31" i="1" s="1"/>
  <c r="J5" i="1"/>
  <c r="J6" i="1"/>
  <c r="J7" i="1"/>
  <c r="J8" i="1"/>
  <c r="J9" i="1"/>
  <c r="J10" i="1"/>
  <c r="J11" i="1"/>
  <c r="J12" i="1"/>
  <c r="J13" i="1"/>
  <c r="J14" i="1"/>
  <c r="J15" i="1"/>
  <c r="J16" i="1"/>
  <c r="H6" i="1"/>
  <c r="H7" i="1"/>
  <c r="H8" i="1"/>
  <c r="H9" i="1"/>
  <c r="H10" i="1"/>
  <c r="H11" i="1"/>
  <c r="H12" i="1"/>
  <c r="H13" i="1"/>
  <c r="H14" i="1"/>
  <c r="H15" i="1"/>
  <c r="H16" i="1"/>
  <c r="H5" i="1"/>
  <c r="I6" i="1"/>
  <c r="I7" i="1"/>
  <c r="I8" i="1"/>
  <c r="I9" i="1"/>
  <c r="I10" i="1"/>
  <c r="I11" i="1"/>
  <c r="I12" i="1"/>
  <c r="I13" i="1"/>
  <c r="I14" i="1"/>
  <c r="I15" i="1"/>
  <c r="I16" i="1"/>
  <c r="I5" i="1"/>
  <c r="G16" i="1"/>
  <c r="G15" i="1"/>
  <c r="G14" i="1"/>
  <c r="G13" i="1"/>
  <c r="G12" i="1"/>
  <c r="G11" i="1"/>
  <c r="G10" i="1"/>
  <c r="G9" i="1"/>
  <c r="G8" i="1"/>
  <c r="G7" i="1"/>
  <c r="G6" i="1"/>
  <c r="G5" i="1"/>
  <c r="G18" i="1" s="1"/>
  <c r="F16" i="1"/>
  <c r="F15" i="1"/>
  <c r="F14" i="1"/>
  <c r="F13" i="1"/>
  <c r="F12" i="1"/>
  <c r="F11" i="1"/>
  <c r="F10" i="1"/>
  <c r="F9" i="1"/>
  <c r="F8" i="1"/>
  <c r="F7" i="1"/>
  <c r="F6" i="1"/>
  <c r="F5" i="1"/>
  <c r="T29" i="1"/>
  <c r="P29" i="1"/>
  <c r="L29" i="1"/>
  <c r="H29" i="1"/>
  <c r="Y29" i="1" s="1" a="1"/>
  <c r="Y29" i="1" s="1"/>
  <c r="T27" i="1"/>
  <c r="P27" i="1"/>
  <c r="L27" i="1"/>
  <c r="H27" i="1"/>
  <c r="U27" i="1" s="1"/>
  <c r="T25" i="1"/>
  <c r="P25" i="1"/>
  <c r="L25" i="1"/>
  <c r="H25" i="1"/>
  <c r="U25" i="1" s="1"/>
  <c r="T23" i="1"/>
  <c r="P23" i="1"/>
  <c r="L23" i="1"/>
  <c r="H23" i="1"/>
  <c r="U23" i="1" s="1"/>
  <c r="K18" i="1" l="1"/>
  <c r="F18" i="1"/>
  <c r="I18" i="1"/>
  <c r="H18" i="1"/>
  <c r="J18" i="1"/>
  <c r="V35" i="1"/>
  <c r="W35" i="1" s="1"/>
  <c r="X35" i="1" s="1"/>
  <c r="AA35" i="1" s="1"/>
  <c r="Y35" i="1" a="1"/>
  <c r="Y35" i="1" s="1"/>
  <c r="V33" i="1"/>
  <c r="W33" i="1" s="1"/>
  <c r="X33" i="1" s="1"/>
  <c r="AA33" i="1" s="1"/>
  <c r="Z33" i="1"/>
  <c r="V31" i="1"/>
  <c r="V23" i="1"/>
  <c r="W23" i="1" s="1"/>
  <c r="X23" i="1" s="1"/>
  <c r="AA23" i="1" s="1"/>
  <c r="D5" i="1"/>
  <c r="W31" i="1"/>
  <c r="X31" i="1" s="1"/>
  <c r="Y31" i="1" a="1"/>
  <c r="Y31" i="1" s="1"/>
  <c r="Z31" i="1" s="1"/>
  <c r="D13" i="1"/>
  <c r="E15" i="1"/>
  <c r="D16" i="1"/>
  <c r="E10" i="1"/>
  <c r="E6" i="1"/>
  <c r="D9" i="1"/>
  <c r="E11" i="1"/>
  <c r="D14" i="1"/>
  <c r="E12" i="1"/>
  <c r="E7" i="1"/>
  <c r="D15" i="1"/>
  <c r="E8" i="1"/>
  <c r="D12" i="1"/>
  <c r="D11" i="1"/>
  <c r="D10" i="1"/>
  <c r="D8" i="1"/>
  <c r="E9" i="1"/>
  <c r="D7" i="1"/>
  <c r="D6" i="1"/>
  <c r="E13" i="1"/>
  <c r="E14" i="1"/>
  <c r="E16" i="1"/>
  <c r="Y23" i="1" a="1"/>
  <c r="Y23" i="1" s="1"/>
  <c r="Z23" i="1" s="1"/>
  <c r="Y25" i="1" a="1"/>
  <c r="Y25" i="1" s="1"/>
  <c r="Y27" i="1" a="1"/>
  <c r="Y27" i="1" s="1"/>
  <c r="E5" i="1"/>
  <c r="U29" i="1"/>
  <c r="V29" i="1" s="1"/>
  <c r="W29" i="1" s="1"/>
  <c r="X29" i="1" s="1"/>
  <c r="Z29" i="1" s="1"/>
  <c r="V27" i="1"/>
  <c r="W27" i="1" s="1"/>
  <c r="X27" i="1" s="1"/>
  <c r="V25" i="1"/>
  <c r="W25" i="1" s="1"/>
  <c r="X25" i="1" s="1"/>
  <c r="Z35" i="1" l="1"/>
  <c r="C7" i="1"/>
  <c r="C9" i="1"/>
  <c r="C6" i="1"/>
  <c r="C11" i="1"/>
  <c r="C15" i="1"/>
  <c r="C16" i="1"/>
  <c r="C14" i="1"/>
  <c r="C13" i="1"/>
  <c r="C5" i="1"/>
  <c r="C12" i="1"/>
  <c r="C8" i="1"/>
  <c r="C10" i="1"/>
  <c r="Z27" i="1"/>
  <c r="Z2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<sst xmlns="http://schemas.openxmlformats.org/spreadsheetml/2006/main" count="142" uniqueCount="43">
  <si>
    <t>Monat</t>
  </si>
  <si>
    <t>Sonderrunde</t>
  </si>
  <si>
    <t>Albrecht Dürer</t>
  </si>
  <si>
    <t>Geographie</t>
  </si>
  <si>
    <t>Aktuelles</t>
  </si>
  <si>
    <t>Sport</t>
  </si>
  <si>
    <t>Musik</t>
  </si>
  <si>
    <t>Bonus</t>
  </si>
  <si>
    <t>Kunst/Literatur</t>
  </si>
  <si>
    <t>Geschichte</t>
  </si>
  <si>
    <t>Verschiedenes</t>
  </si>
  <si>
    <t>Film/Fernsehen</t>
  </si>
  <si>
    <t>Essen/Trinken</t>
  </si>
  <si>
    <t>Rel./Mythol.</t>
  </si>
  <si>
    <t>Wissensch./Natur</t>
  </si>
  <si>
    <t>Joker</t>
  </si>
  <si>
    <t>Teil 1</t>
  </si>
  <si>
    <t>Teil 2</t>
  </si>
  <si>
    <t>Teil 3</t>
  </si>
  <si>
    <t>Teil 4</t>
  </si>
  <si>
    <t>Gesamtsumme</t>
  </si>
  <si>
    <t>Wolken</t>
  </si>
  <si>
    <t>Sixtin. Kapelle</t>
  </si>
  <si>
    <t>Erdmond</t>
  </si>
  <si>
    <t>Kategorie</t>
  </si>
  <si>
    <t>Mittelwert</t>
  </si>
  <si>
    <t>Auswertung Kneipenquiz Schwabach</t>
  </si>
  <si>
    <t>Platzierung</t>
  </si>
  <si>
    <t>Platz</t>
  </si>
  <si>
    <t>Punkte gesamt</t>
  </si>
  <si>
    <t>Apr 25</t>
  </si>
  <si>
    <t>Mai 25</t>
  </si>
  <si>
    <t>Jul 25</t>
  </si>
  <si>
    <t>Sep 25</t>
  </si>
  <si>
    <t>Jan 26</t>
  </si>
  <si>
    <t>Spongebob</t>
  </si>
  <si>
    <t>% richtig</t>
  </si>
  <si>
    <t>Anteil Richtige Antworten</t>
  </si>
  <si>
    <t>von</t>
  </si>
  <si>
    <t>James Bond</t>
  </si>
  <si>
    <t>Mrz 26</t>
  </si>
  <si>
    <t>Loriot</t>
  </si>
  <si>
    <t>Apr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</si>
</sst>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unde &quot;0"/>
    <numFmt numFmtId="165" formatCode="&quot;Stand Teil &quot;0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39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right" vertical="center" indent="1"/>
    </xf>
    <xf numFmtId="0" fontId="5" fillId="2" borderId="0" xfId="0" applyFont="1" applyFill="1" applyAlignment="1">
      <alignment horizontal="center" vertical="center"/>
    </xf>
    <xf numFmtId="17" fontId="4" fillId="0" borderId="0" xfId="0" applyNumberFormat="1" applyFont="1" applyAlignment="1">
      <alignment horizontal="right" vertical="center" indent="1"/>
    </xf>
    <xf numFmtId="2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 indent="1"/>
    </xf>
    <xf numFmtId="17" fontId="5" fillId="0" borderId="4" xfId="0" applyNumberFormat="1" applyFont="1" applyBorder="1" applyAlignment="1">
      <alignment horizontal="left" vertical="center" indent="1"/>
    </xf>
    <xf numFmtId="0" fontId="5" fillId="0" borderId="4" xfId="0" applyFont="1" applyBorder="1" applyAlignment="1">
      <alignment horizontal="center" vertical="center"/>
    </xf>
    <xf numFmtId="17" fontId="4" fillId="0" borderId="0" xfId="0" applyNumberFormat="1" applyFont="1" applyAlignment="1">
      <alignment horizontal="center" vertical="center"/>
    </xf>
    <xf numFmtId="17" fontId="3" fillId="0" borderId="0" xfId="0" applyNumberFormat="1" applyFont="1" applyAlignment="1">
      <alignment horizontal="center" vertical="center"/>
    </xf>
    <xf numFmtId="0" fontId="8" fillId="0" borderId="6" xfId="0" applyFont="1" applyBorder="1" applyAlignment="1">
      <alignment horizontal="left" vertical="center" indent="1"/>
    </xf>
    <xf numFmtId="0" fontId="4" fillId="0" borderId="6" xfId="0" applyFont="1" applyBorder="1" applyAlignment="1">
      <alignment horizontal="left" vertical="center" indent="1"/>
    </xf>
    <xf numFmtId="9" fontId="4" fillId="0" borderId="4" xfId="1" applyFont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3" fillId="0" borderId="7" xfId="0" applyFont="1" applyBorder="1" applyAlignment="1">
      <alignment horizontal="left" vertical="center" indent="1"/>
    </xf>
    <xf numFmtId="9" fontId="4" fillId="3" borderId="7" xfId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164" fontId="5" fillId="2" borderId="5" xfId="0" applyNumberFormat="1" applyFont="1" applyFill="1" applyBorder="1" applyAlignment="1">
      <alignment horizontal="center" vertical="center"/>
    </xf>
    <xf numFmtId="164" fontId="5" fillId="2" borderId="4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5" fontId="5" fillId="2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7" fontId="2" fillId="0" borderId="0" xfId="0" applyNumberFormat="1" applyFont="1" applyAlignment="1">
      <alignment horizontal="center" vertical="center"/>
    </xf>
    <xf numFmtId="0" fontId="4" fillId="3" borderId="4" xfId="0" quotePrefix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17" fontId="1" fillId="0" borderId="0" xfId="0" applyNumberFormat="1" applyFont="1" applyAlignment="1">
      <alignment horizontal="center" vertical="center"/>
    </xf>
  </cellXfs>
  <cellStyles count="2">
    <cellStyle name="Prozent" xfId="1" builtinId="5"/>
    <cellStyle name="Standard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/>
              <a:t>Gesamt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de-DE"/>
        </a:p>
      </c:txPr>
    </c:title>
    <c:autoTitleDeleted val="0"/>
    <c:plotArea>
      <c:layout/>
      <c:barChart>
        <c:barDir val="col"/>
        <c:grouping val="stacked"/>
        <c:varyColors val="0"/>
        <c:ser>
          <c:idx val="3"/>
          <c:order val="0"/>
          <c:tx>
            <c:strRef>
              <c:f>Tabelle1!$F$4</c:f>
              <c:strCache>
                <c:ptCount val="1"/>
                <c:pt idx="0">
                  <c:v>Apr 25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Tabelle1!$B$5:$B$16</c:f>
              <c:strCache>
                <c:ptCount val="12"/>
                <c:pt idx="0">
                  <c:v>Aktuelles</c:v>
                </c:pt>
                <c:pt idx="1">
                  <c:v>Essen/Trinken</c:v>
                </c:pt>
                <c:pt idx="2">
                  <c:v>Film/Fernsehen</c:v>
                </c:pt>
                <c:pt idx="3">
                  <c:v>Geographie</c:v>
                </c:pt>
                <c:pt idx="4">
                  <c:v>Geschichte</c:v>
                </c:pt>
                <c:pt idx="5">
                  <c:v>Kunst/Literatur</c:v>
                </c:pt>
                <c:pt idx="6">
                  <c:v>Musik</c:v>
                </c:pt>
                <c:pt idx="7">
                  <c:v>Rel./Mythol.</c:v>
                </c:pt>
                <c:pt idx="8">
                  <c:v>Sonderrunde</c:v>
                </c:pt>
                <c:pt idx="9">
                  <c:v>Sport</c:v>
                </c:pt>
                <c:pt idx="10">
                  <c:v>Verschiedenes</c:v>
                </c:pt>
                <c:pt idx="11">
                  <c:v>Wissensch./Natur</c:v>
                </c:pt>
              </c:strCache>
            </c:strRef>
          </c:cat>
          <c:val>
            <c:numRef>
              <c:f>Tabelle1!$F$5:$F$16</c:f>
              <c:numCache>
                <c:formatCode>General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4</c:v>
                </c:pt>
                <c:pt idx="3">
                  <c:v>2</c:v>
                </c:pt>
                <c:pt idx="4">
                  <c:v>4</c:v>
                </c:pt>
                <c:pt idx="5">
                  <c:v>2</c:v>
                </c:pt>
                <c:pt idx="6">
                  <c:v>2</c:v>
                </c:pt>
                <c:pt idx="7">
                  <c:v>4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CA-4CCD-B18C-C539CE4CAD4A}"/>
            </c:ext>
          </c:extLst>
        </c:ser>
        <c:ser>
          <c:idx val="4"/>
          <c:order val="1"/>
          <c:tx>
            <c:strRef>
              <c:f>Tabelle1!$G$4</c:f>
              <c:strCache>
                <c:ptCount val="1"/>
                <c:pt idx="0">
                  <c:v>Mai 25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Tabelle1!$B$5:$B$16</c:f>
              <c:strCache>
                <c:ptCount val="12"/>
                <c:pt idx="0">
                  <c:v>Aktuelles</c:v>
                </c:pt>
                <c:pt idx="1">
                  <c:v>Essen/Trinken</c:v>
                </c:pt>
                <c:pt idx="2">
                  <c:v>Film/Fernsehen</c:v>
                </c:pt>
                <c:pt idx="3">
                  <c:v>Geographie</c:v>
                </c:pt>
                <c:pt idx="4">
                  <c:v>Geschichte</c:v>
                </c:pt>
                <c:pt idx="5">
                  <c:v>Kunst/Literatur</c:v>
                </c:pt>
                <c:pt idx="6">
                  <c:v>Musik</c:v>
                </c:pt>
                <c:pt idx="7">
                  <c:v>Rel./Mythol.</c:v>
                </c:pt>
                <c:pt idx="8">
                  <c:v>Sonderrunde</c:v>
                </c:pt>
                <c:pt idx="9">
                  <c:v>Sport</c:v>
                </c:pt>
                <c:pt idx="10">
                  <c:v>Verschiedenes</c:v>
                </c:pt>
                <c:pt idx="11">
                  <c:v>Wissensch./Natur</c:v>
                </c:pt>
              </c:strCache>
            </c:strRef>
          </c:cat>
          <c:val>
            <c:numRef>
              <c:f>Tabelle1!$G$5:$G$16</c:f>
              <c:numCache>
                <c:formatCode>General</c:formatCode>
                <c:ptCount val="12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5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6CA-4CCD-B18C-C539CE4CAD4A}"/>
            </c:ext>
          </c:extLst>
        </c:ser>
        <c:ser>
          <c:idx val="5"/>
          <c:order val="2"/>
          <c:tx>
            <c:strRef>
              <c:f>Tabelle1!$H$4</c:f>
              <c:strCache>
                <c:ptCount val="1"/>
                <c:pt idx="0">
                  <c:v>Jul 25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Tabelle1!$B$5:$B$16</c:f>
              <c:strCache>
                <c:ptCount val="12"/>
                <c:pt idx="0">
                  <c:v>Aktuelles</c:v>
                </c:pt>
                <c:pt idx="1">
                  <c:v>Essen/Trinken</c:v>
                </c:pt>
                <c:pt idx="2">
                  <c:v>Film/Fernsehen</c:v>
                </c:pt>
                <c:pt idx="3">
                  <c:v>Geographie</c:v>
                </c:pt>
                <c:pt idx="4">
                  <c:v>Geschichte</c:v>
                </c:pt>
                <c:pt idx="5">
                  <c:v>Kunst/Literatur</c:v>
                </c:pt>
                <c:pt idx="6">
                  <c:v>Musik</c:v>
                </c:pt>
                <c:pt idx="7">
                  <c:v>Rel./Mythol.</c:v>
                </c:pt>
                <c:pt idx="8">
                  <c:v>Sonderrunde</c:v>
                </c:pt>
                <c:pt idx="9">
                  <c:v>Sport</c:v>
                </c:pt>
                <c:pt idx="10">
                  <c:v>Verschiedenes</c:v>
                </c:pt>
                <c:pt idx="11">
                  <c:v>Wissensch./Natur</c:v>
                </c:pt>
              </c:strCache>
            </c:strRef>
          </c:cat>
          <c:val>
            <c:numRef>
              <c:f>Tabelle1!$H$5:$H$16</c:f>
              <c:numCache>
                <c:formatCode>General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2</c:v>
                </c:pt>
                <c:pt idx="10">
                  <c:v>4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6CA-4CCD-B18C-C539CE4CAD4A}"/>
            </c:ext>
          </c:extLst>
        </c:ser>
        <c:ser>
          <c:idx val="6"/>
          <c:order val="3"/>
          <c:tx>
            <c:strRef>
              <c:f>Tabelle1!$I$4</c:f>
              <c:strCache>
                <c:ptCount val="1"/>
                <c:pt idx="0">
                  <c:v>Sep 25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Tabelle1!$B$5:$B$16</c:f>
              <c:strCache>
                <c:ptCount val="12"/>
                <c:pt idx="0">
                  <c:v>Aktuelles</c:v>
                </c:pt>
                <c:pt idx="1">
                  <c:v>Essen/Trinken</c:v>
                </c:pt>
                <c:pt idx="2">
                  <c:v>Film/Fernsehen</c:v>
                </c:pt>
                <c:pt idx="3">
                  <c:v>Geographie</c:v>
                </c:pt>
                <c:pt idx="4">
                  <c:v>Geschichte</c:v>
                </c:pt>
                <c:pt idx="5">
                  <c:v>Kunst/Literatur</c:v>
                </c:pt>
                <c:pt idx="6">
                  <c:v>Musik</c:v>
                </c:pt>
                <c:pt idx="7">
                  <c:v>Rel./Mythol.</c:v>
                </c:pt>
                <c:pt idx="8">
                  <c:v>Sonderrunde</c:v>
                </c:pt>
                <c:pt idx="9">
                  <c:v>Sport</c:v>
                </c:pt>
                <c:pt idx="10">
                  <c:v>Verschiedenes</c:v>
                </c:pt>
                <c:pt idx="11">
                  <c:v>Wissensch./Natur</c:v>
                </c:pt>
              </c:strCache>
            </c:strRef>
          </c:cat>
          <c:val>
            <c:numRef>
              <c:f>Tabelle1!$I$5:$I$16</c:f>
              <c:numCache>
                <c:formatCode>General</c:formatCode>
                <c:ptCount val="12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2</c:v>
                </c:pt>
                <c:pt idx="8">
                  <c:v>0</c:v>
                </c:pt>
                <c:pt idx="9">
                  <c:v>4</c:v>
                </c:pt>
                <c:pt idx="10">
                  <c:v>2</c:v>
                </c:pt>
                <c:pt idx="1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CA-4CCD-B18C-C539CE4CAD4A}"/>
            </c:ext>
          </c:extLst>
        </c:ser>
        <c:ser>
          <c:idx val="7"/>
          <c:order val="4"/>
          <c:tx>
            <c:strRef>
              <c:f>Tabelle1!$J$4</c:f>
              <c:strCache>
                <c:ptCount val="1"/>
                <c:pt idx="0">
                  <c:v>Jan 26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Tabelle1!$B$5:$B$16</c:f>
              <c:strCache>
                <c:ptCount val="12"/>
                <c:pt idx="0">
                  <c:v>Aktuelles</c:v>
                </c:pt>
                <c:pt idx="1">
                  <c:v>Essen/Trinken</c:v>
                </c:pt>
                <c:pt idx="2">
                  <c:v>Film/Fernsehen</c:v>
                </c:pt>
                <c:pt idx="3">
                  <c:v>Geographie</c:v>
                </c:pt>
                <c:pt idx="4">
                  <c:v>Geschichte</c:v>
                </c:pt>
                <c:pt idx="5">
                  <c:v>Kunst/Literatur</c:v>
                </c:pt>
                <c:pt idx="6">
                  <c:v>Musik</c:v>
                </c:pt>
                <c:pt idx="7">
                  <c:v>Rel./Mythol.</c:v>
                </c:pt>
                <c:pt idx="8">
                  <c:v>Sonderrunde</c:v>
                </c:pt>
                <c:pt idx="9">
                  <c:v>Sport</c:v>
                </c:pt>
                <c:pt idx="10">
                  <c:v>Verschiedenes</c:v>
                </c:pt>
                <c:pt idx="11">
                  <c:v>Wissensch./Natur</c:v>
                </c:pt>
              </c:strCache>
            </c:strRef>
          </c:cat>
          <c:val>
            <c:numRef>
              <c:f>Tabelle1!$J$5:$J$16</c:f>
              <c:numCache>
                <c:formatCode>General</c:formatCode>
                <c:ptCount val="12"/>
                <c:pt idx="0">
                  <c:v>4</c:v>
                </c:pt>
                <c:pt idx="1">
                  <c:v>1</c:v>
                </c:pt>
                <c:pt idx="2">
                  <c:v>4</c:v>
                </c:pt>
                <c:pt idx="3">
                  <c:v>2</c:v>
                </c:pt>
                <c:pt idx="4">
                  <c:v>4</c:v>
                </c:pt>
                <c:pt idx="5">
                  <c:v>2</c:v>
                </c:pt>
                <c:pt idx="6">
                  <c:v>5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5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6CA-4CCD-B18C-C539CE4CAD4A}"/>
            </c:ext>
          </c:extLst>
        </c:ser>
        <c:ser>
          <c:idx val="8"/>
          <c:order val="5"/>
          <c:tx>
            <c:strRef>
              <c:f>Tabelle1!$K$4</c:f>
              <c:strCache>
                <c:ptCount val="1"/>
                <c:pt idx="0">
                  <c:v>Mrz 26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Tabelle1!$B$5:$B$16</c:f>
              <c:strCache>
                <c:ptCount val="12"/>
                <c:pt idx="0">
                  <c:v>Aktuelles</c:v>
                </c:pt>
                <c:pt idx="1">
                  <c:v>Essen/Trinken</c:v>
                </c:pt>
                <c:pt idx="2">
                  <c:v>Film/Fernsehen</c:v>
                </c:pt>
                <c:pt idx="3">
                  <c:v>Geographie</c:v>
                </c:pt>
                <c:pt idx="4">
                  <c:v>Geschichte</c:v>
                </c:pt>
                <c:pt idx="5">
                  <c:v>Kunst/Literatur</c:v>
                </c:pt>
                <c:pt idx="6">
                  <c:v>Musik</c:v>
                </c:pt>
                <c:pt idx="7">
                  <c:v>Rel./Mythol.</c:v>
                </c:pt>
                <c:pt idx="8">
                  <c:v>Sonderrunde</c:v>
                </c:pt>
                <c:pt idx="9">
                  <c:v>Sport</c:v>
                </c:pt>
                <c:pt idx="10">
                  <c:v>Verschiedenes</c:v>
                </c:pt>
                <c:pt idx="11">
                  <c:v>Wissensch./Natur</c:v>
                </c:pt>
              </c:strCache>
            </c:strRef>
          </c:cat>
          <c:val>
            <c:numRef>
              <c:f>Tabelle1!$K$5:$K$16</c:f>
              <c:numCache>
                <c:formatCode>General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5</c:v>
                </c:pt>
                <c:pt idx="9">
                  <c:v>5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6CA-4CCD-B18C-C539CE4CAD4A}"/>
            </c:ext>
          </c:extLst>
        </c:ser>
        <c:ser>
          <c:idx val="0"/>
          <c:order val="6"/>
          <c:tx>
            <c:strRef>
              <c:f>Tabelle1!$L$4</c:f>
              <c:strCache>
                <c:ptCount val="1"/>
                <c:pt idx="0">
                  <c:v>Apr 26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Tabelle1!$B$5:$B$16</c:f>
              <c:strCache>
                <c:ptCount val="12"/>
                <c:pt idx="0">
                  <c:v>Aktuelles</c:v>
                </c:pt>
                <c:pt idx="1">
                  <c:v>Essen/Trinken</c:v>
                </c:pt>
                <c:pt idx="2">
                  <c:v>Film/Fernsehen</c:v>
                </c:pt>
                <c:pt idx="3">
                  <c:v>Geographie</c:v>
                </c:pt>
                <c:pt idx="4">
                  <c:v>Geschichte</c:v>
                </c:pt>
                <c:pt idx="5">
                  <c:v>Kunst/Literatur</c:v>
                </c:pt>
                <c:pt idx="6">
                  <c:v>Musik</c:v>
                </c:pt>
                <c:pt idx="7">
                  <c:v>Rel./Mythol.</c:v>
                </c:pt>
                <c:pt idx="8">
                  <c:v>Sonderrunde</c:v>
                </c:pt>
                <c:pt idx="9">
                  <c:v>Sport</c:v>
                </c:pt>
                <c:pt idx="10">
                  <c:v>Verschiedenes</c:v>
                </c:pt>
                <c:pt idx="11">
                  <c:v>Wissensch./Natur</c:v>
                </c:pt>
              </c:strCache>
            </c:strRef>
          </c:cat>
          <c:val>
            <c:numRef>
              <c:f>Tabelle1!$L$5:$L$16</c:f>
              <c:numCache>
                <c:formatCode>General</c:formatCode>
                <c:ptCount val="12"/>
                <c:pt idx="0">
                  <c:v>4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1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C0-428A-AFBC-A0EABF9E9A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39464879"/>
        <c:axId val="739465359"/>
      </c:barChart>
      <c:catAx>
        <c:axId val="739464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de-DE"/>
          </a:p>
        </c:txPr>
        <c:crossAx val="739465359"/>
        <c:crosses val="autoZero"/>
        <c:auto val="1"/>
        <c:lblAlgn val="ctr"/>
        <c:lblOffset val="100"/>
        <c:noMultiLvlLbl val="0"/>
      </c:catAx>
      <c:valAx>
        <c:axId val="73946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de-DE"/>
          </a:p>
        </c:txPr>
        <c:crossAx val="739464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Segoe UI" panose="020B0502040204020203" pitchFamily="34" charset="0"/>
          <a:cs typeface="Segoe UI" panose="020B0502040204020203" pitchFamily="34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554935</xdr:colOff>
      <xdr:row>3</xdr:row>
      <xdr:rowOff>19878</xdr:rowOff>
    </xdr:from>
    <xdr:to>
      <xdr:col>18</xdr:col>
      <xdr:colOff>157370</xdr:colOff>
      <xdr:row>17</xdr:row>
      <xdr:rowOff>79513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325E87E4-CA2A-38DD-50F7-038928EC08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7F5C69-2D77-48E6-8BB0-D1E8100D0ABE}" name="Tabelle1" displayName="Tabelle1" ref="F4:L16" totalsRowShown="0" headerRowDxfId="8" dataDxfId="7">
  <autoFilter ref="F4:L16" xr:uid="{3C7F5C69-2D77-48E6-8BB0-D1E8100D0ABE}"/>
  <tableColumns count="7">
    <tableColumn id="1" xr3:uid="{8C1526E1-09B6-46F2-96CF-230829B6B5DA}" name="Apr 25" dataDxfId="6">
      <calculatedColumnFormula>_xlfn.XLOOKUP(B5,$E$22:$S$22,$E$23:$S$23)</calculatedColumnFormula>
    </tableColumn>
    <tableColumn id="2" xr3:uid="{16CB76C2-8F60-4507-8B2C-8C01294358A7}" name="Mai 25" dataDxfId="5">
      <calculatedColumnFormula>_xlfn.XLOOKUP($B5,$E$24:$S$24,$E$25:$S$25)</calculatedColumnFormula>
    </tableColumn>
    <tableColumn id="3" xr3:uid="{83AC99DA-CCF8-4518-9AB4-F774F7F11EAC}" name="Jul 25" dataDxfId="4">
      <calculatedColumnFormula>_xlfn.XLOOKUP($B5,$E$26:$S$26,$E$27:$S$27)</calculatedColumnFormula>
    </tableColumn>
    <tableColumn id="4" xr3:uid="{937EAD44-B281-48CC-ACD8-3885491FC2BB}" name="Sep 25" dataDxfId="3">
      <calculatedColumnFormula>_xlfn.XLOOKUP($B5,$E$28:$S$28,$E$29:$S$29)</calculatedColumnFormula>
    </tableColumn>
    <tableColumn id="5" xr3:uid="{3BB0B693-EA2D-4C27-99BB-02E4176257FF}" name="Jan 26" dataDxfId="2">
      <calculatedColumnFormula>_xlfn.XLOOKUP($B5,$E$30:$S$30,$E$31:$S$31)</calculatedColumnFormula>
    </tableColumn>
    <tableColumn id="6" xr3:uid="{680665C8-C272-49E0-A401-E7EB4DCC22B3}" name="Mrz 26" dataDxfId="1">
      <calculatedColumnFormula>_xlfn.XLOOKUP($B5,$E$32:$S$32,$E$33:$S$33)</calculatedColumnFormula>
    </tableColumn>
    <tableColumn id="7" xr3:uid="{A2888791-F0A5-4DF7-AA1C-8F290A32CCEF}" name="Apr 26" dataDxfId="0">
      <calculatedColumnFormula>_xlfn.XLOOKUP($B5,$E$34:$S$34,$E$35:$S$35)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C260"/>
  <sheetViews>
    <sheetView tabSelected="1" topLeftCell="A11" zoomScale="115" zoomScaleNormal="115" workbookViewId="0">
      <selection activeCell="AA33" sqref="AA33"/>
    </sheetView>
  </sheetViews>
  <sheetFormatPr baseColWidth="10" defaultColWidth="9.140625" defaultRowHeight="12.75" x14ac:dyDescent="0.25"/>
  <cols>
    <col min="1" max="1" width="9.140625" style="1"/>
    <col min="2" max="2" width="23" style="1" customWidth="1"/>
    <col min="3" max="4" width="18.5703125" style="1" customWidth="1"/>
    <col min="5" max="27" width="14.85546875" style="1" customWidth="1"/>
    <col min="28" max="29" width="15.140625" style="1" customWidth="1"/>
    <col min="30" max="16384" width="9.140625" style="1"/>
  </cols>
  <sheetData>
    <row r="2" spans="2:12" ht="33" customHeight="1" x14ac:dyDescent="0.25">
      <c r="B2" s="18" t="s">
        <v>26</v>
      </c>
      <c r="C2" s="19"/>
      <c r="D2" s="19"/>
      <c r="E2" s="19"/>
      <c r="F2" s="19"/>
      <c r="G2" s="19"/>
      <c r="H2" s="19"/>
      <c r="I2" s="19"/>
      <c r="J2" s="19"/>
    </row>
    <row r="3" spans="2:12" ht="15.95" customHeight="1" x14ac:dyDescent="0.25"/>
    <row r="4" spans="2:12" ht="15.95" customHeight="1" x14ac:dyDescent="0.25">
      <c r="B4" s="14" t="s">
        <v>24</v>
      </c>
      <c r="C4" s="15" t="s">
        <v>28</v>
      </c>
      <c r="D4" s="15" t="s">
        <v>29</v>
      </c>
      <c r="E4" s="15" t="s">
        <v>25</v>
      </c>
      <c r="F4" s="16" t="s">
        <v>30</v>
      </c>
      <c r="G4" s="16" t="s">
        <v>31</v>
      </c>
      <c r="H4" s="16" t="s">
        <v>32</v>
      </c>
      <c r="I4" s="16" t="s">
        <v>33</v>
      </c>
      <c r="J4" s="17" t="s">
        <v>34</v>
      </c>
      <c r="K4" s="34" t="s">
        <v>40</v>
      </c>
      <c r="L4" s="38" t="s">
        <v>42</v>
      </c>
    </row>
    <row r="5" spans="2:12" ht="15.95" customHeight="1" x14ac:dyDescent="0.25">
      <c r="B5" s="13" t="s">
        <v>4</v>
      </c>
      <c r="C5" s="2">
        <f t="shared" ref="C5:C16" si="0">RANK(E5,$E$5:$E$16)</f>
        <v>1</v>
      </c>
      <c r="D5" s="2">
        <f>SUM(Tabelle1[#This Row])</f>
        <v>24</v>
      </c>
      <c r="E5" s="12">
        <f>AVERAGE(Tabelle1[#This Row])</f>
        <v>3.4285714285714284</v>
      </c>
      <c r="F5" s="2">
        <f t="shared" ref="F5:F16" si="1">_xlfn.XLOOKUP(B5,$E$22:$S$22,$E$23:$S$23)</f>
        <v>2</v>
      </c>
      <c r="G5" s="2">
        <f t="shared" ref="G5:G16" si="2">_xlfn.XLOOKUP($B5,$E$24:$S$24,$E$25:$S$25)</f>
        <v>4</v>
      </c>
      <c r="H5" s="2">
        <f t="shared" ref="H5:H16" si="3">_xlfn.XLOOKUP($B5,$E$26:$S$26,$E$27:$S$27)</f>
        <v>4</v>
      </c>
      <c r="I5" s="2">
        <f t="shared" ref="I5:I16" si="4">_xlfn.XLOOKUP($B5,$E$28:$S$28,$E$29:$S$29)</f>
        <v>4</v>
      </c>
      <c r="J5" s="2">
        <f t="shared" ref="J5:J16" si="5">_xlfn.XLOOKUP($B5,$E$30:$S$30,$E$31:$S$31)</f>
        <v>4</v>
      </c>
      <c r="K5" s="33">
        <f t="shared" ref="K5:L16" si="6">_xlfn.XLOOKUP($B5,$E$32:$S$32,$E$33:$S$33)</f>
        <v>2</v>
      </c>
      <c r="L5" s="33">
        <f t="shared" ref="L5:L16" si="7">_xlfn.XLOOKUP($B5,$E$34:$S$34,$E$35:$S$35)</f>
        <v>4</v>
      </c>
    </row>
    <row r="6" spans="2:12" ht="15.95" customHeight="1" x14ac:dyDescent="0.25">
      <c r="B6" s="13" t="s">
        <v>12</v>
      </c>
      <c r="C6" s="2">
        <f t="shared" si="0"/>
        <v>11</v>
      </c>
      <c r="D6" s="2">
        <f>SUM(Tabelle1[#This Row])</f>
        <v>17</v>
      </c>
      <c r="E6" s="12">
        <f>AVERAGE(Tabelle1[#This Row])</f>
        <v>2.4285714285714284</v>
      </c>
      <c r="F6" s="2">
        <f t="shared" si="1"/>
        <v>2</v>
      </c>
      <c r="G6" s="2">
        <f t="shared" si="2"/>
        <v>3</v>
      </c>
      <c r="H6" s="2">
        <f t="shared" si="3"/>
        <v>4</v>
      </c>
      <c r="I6" s="2">
        <f t="shared" si="4"/>
        <v>3</v>
      </c>
      <c r="J6" s="2">
        <f t="shared" si="5"/>
        <v>1</v>
      </c>
      <c r="K6" s="33">
        <f t="shared" si="6"/>
        <v>2</v>
      </c>
      <c r="L6" s="37">
        <f t="shared" si="7"/>
        <v>2</v>
      </c>
    </row>
    <row r="7" spans="2:12" ht="15.95" customHeight="1" x14ac:dyDescent="0.25">
      <c r="B7" s="13" t="s">
        <v>11</v>
      </c>
      <c r="C7" s="2">
        <f t="shared" si="0"/>
        <v>5</v>
      </c>
      <c r="D7" s="2">
        <f>SUM(Tabelle1[#This Row])</f>
        <v>20</v>
      </c>
      <c r="E7" s="12">
        <f>AVERAGE(Tabelle1[#This Row])</f>
        <v>2.8571428571428572</v>
      </c>
      <c r="F7" s="2">
        <f t="shared" si="1"/>
        <v>4</v>
      </c>
      <c r="G7" s="2">
        <f t="shared" si="2"/>
        <v>3</v>
      </c>
      <c r="H7" s="2">
        <f t="shared" si="3"/>
        <v>2</v>
      </c>
      <c r="I7" s="2">
        <f t="shared" si="4"/>
        <v>2</v>
      </c>
      <c r="J7" s="2">
        <f t="shared" si="5"/>
        <v>4</v>
      </c>
      <c r="K7" s="33">
        <f t="shared" si="6"/>
        <v>3</v>
      </c>
      <c r="L7" s="37">
        <f t="shared" si="7"/>
        <v>2</v>
      </c>
    </row>
    <row r="8" spans="2:12" ht="15.95" customHeight="1" x14ac:dyDescent="0.25">
      <c r="B8" s="13" t="s">
        <v>3</v>
      </c>
      <c r="C8" s="2">
        <f t="shared" si="0"/>
        <v>5</v>
      </c>
      <c r="D8" s="2">
        <f>SUM(Tabelle1[#This Row])</f>
        <v>20</v>
      </c>
      <c r="E8" s="12">
        <f>AVERAGE(Tabelle1[#This Row])</f>
        <v>2.8571428571428572</v>
      </c>
      <c r="F8" s="2">
        <f t="shared" si="1"/>
        <v>2</v>
      </c>
      <c r="G8" s="2">
        <f t="shared" si="2"/>
        <v>3</v>
      </c>
      <c r="H8" s="2">
        <f t="shared" si="3"/>
        <v>2</v>
      </c>
      <c r="I8" s="2">
        <f t="shared" si="4"/>
        <v>3</v>
      </c>
      <c r="J8" s="2">
        <f t="shared" si="5"/>
        <v>2</v>
      </c>
      <c r="K8" s="33">
        <f t="shared" si="6"/>
        <v>4</v>
      </c>
      <c r="L8" s="37">
        <f t="shared" si="7"/>
        <v>4</v>
      </c>
    </row>
    <row r="9" spans="2:12" ht="15.95" customHeight="1" x14ac:dyDescent="0.25">
      <c r="B9" s="13" t="s">
        <v>9</v>
      </c>
      <c r="C9" s="2">
        <f t="shared" si="0"/>
        <v>3</v>
      </c>
      <c r="D9" s="2">
        <f>SUM(Tabelle1[#This Row])</f>
        <v>21</v>
      </c>
      <c r="E9" s="12">
        <f>AVERAGE(Tabelle1[#This Row])</f>
        <v>3</v>
      </c>
      <c r="F9" s="2">
        <f t="shared" si="1"/>
        <v>4</v>
      </c>
      <c r="G9" s="2">
        <f t="shared" si="2"/>
        <v>3</v>
      </c>
      <c r="H9" s="2">
        <f t="shared" si="3"/>
        <v>2</v>
      </c>
      <c r="I9" s="2">
        <f t="shared" si="4"/>
        <v>3</v>
      </c>
      <c r="J9" s="2">
        <f t="shared" si="5"/>
        <v>4</v>
      </c>
      <c r="K9" s="33">
        <f t="shared" si="6"/>
        <v>4</v>
      </c>
      <c r="L9" s="37">
        <f t="shared" si="7"/>
        <v>1</v>
      </c>
    </row>
    <row r="10" spans="2:12" ht="15.95" customHeight="1" x14ac:dyDescent="0.25">
      <c r="B10" s="13" t="s">
        <v>8</v>
      </c>
      <c r="C10" s="2">
        <f t="shared" si="0"/>
        <v>9</v>
      </c>
      <c r="D10" s="2">
        <f>SUM(Tabelle1[#This Row])</f>
        <v>18</v>
      </c>
      <c r="E10" s="12">
        <f>AVERAGE(Tabelle1[#This Row])</f>
        <v>2.5714285714285716</v>
      </c>
      <c r="F10" s="2">
        <f t="shared" si="1"/>
        <v>2</v>
      </c>
      <c r="G10" s="2">
        <f t="shared" si="2"/>
        <v>3</v>
      </c>
      <c r="H10" s="2">
        <f t="shared" si="3"/>
        <v>2</v>
      </c>
      <c r="I10" s="2">
        <f t="shared" si="4"/>
        <v>3</v>
      </c>
      <c r="J10" s="2">
        <f t="shared" si="5"/>
        <v>2</v>
      </c>
      <c r="K10" s="33">
        <f t="shared" si="6"/>
        <v>2</v>
      </c>
      <c r="L10" s="37">
        <f t="shared" si="7"/>
        <v>4</v>
      </c>
    </row>
    <row r="11" spans="2:12" ht="15.95" customHeight="1" x14ac:dyDescent="0.25">
      <c r="B11" s="13" t="s">
        <v>6</v>
      </c>
      <c r="C11" s="2">
        <f t="shared" si="0"/>
        <v>2</v>
      </c>
      <c r="D11" s="2">
        <f>SUM(Tabelle1[#This Row])</f>
        <v>22</v>
      </c>
      <c r="E11" s="12">
        <f>AVERAGE(Tabelle1[#This Row])</f>
        <v>3.1428571428571428</v>
      </c>
      <c r="F11" s="2">
        <f t="shared" si="1"/>
        <v>2</v>
      </c>
      <c r="G11" s="2">
        <f t="shared" si="2"/>
        <v>4</v>
      </c>
      <c r="H11" s="2">
        <f t="shared" si="3"/>
        <v>1</v>
      </c>
      <c r="I11" s="2">
        <f t="shared" si="4"/>
        <v>4</v>
      </c>
      <c r="J11" s="2">
        <f t="shared" si="5"/>
        <v>5</v>
      </c>
      <c r="K11" s="33">
        <f t="shared" si="6"/>
        <v>2</v>
      </c>
      <c r="L11" s="37">
        <f t="shared" si="7"/>
        <v>4</v>
      </c>
    </row>
    <row r="12" spans="2:12" ht="15.95" customHeight="1" x14ac:dyDescent="0.25">
      <c r="B12" s="13" t="s">
        <v>13</v>
      </c>
      <c r="C12" s="2">
        <f t="shared" si="0"/>
        <v>5</v>
      </c>
      <c r="D12" s="2">
        <f>SUM(Tabelle1[#This Row])</f>
        <v>20</v>
      </c>
      <c r="E12" s="12">
        <f>AVERAGE(Tabelle1[#This Row])</f>
        <v>2.8571428571428572</v>
      </c>
      <c r="F12" s="2">
        <f t="shared" si="1"/>
        <v>4</v>
      </c>
      <c r="G12" s="2">
        <f t="shared" si="2"/>
        <v>3</v>
      </c>
      <c r="H12" s="2">
        <f t="shared" si="3"/>
        <v>2</v>
      </c>
      <c r="I12" s="2">
        <f t="shared" si="4"/>
        <v>2</v>
      </c>
      <c r="J12" s="2">
        <f t="shared" si="5"/>
        <v>2</v>
      </c>
      <c r="K12" s="33">
        <f t="shared" si="6"/>
        <v>3</v>
      </c>
      <c r="L12" s="37">
        <f t="shared" si="7"/>
        <v>4</v>
      </c>
    </row>
    <row r="13" spans="2:12" ht="15.95" customHeight="1" x14ac:dyDescent="0.25">
      <c r="B13" s="13" t="s">
        <v>1</v>
      </c>
      <c r="C13" s="2">
        <f t="shared" si="0"/>
        <v>12</v>
      </c>
      <c r="D13" s="2">
        <f>SUM(Tabelle1[#This Row])</f>
        <v>16</v>
      </c>
      <c r="E13" s="12">
        <f>AVERAGE(Tabelle1[#This Row])</f>
        <v>2.2857142857142856</v>
      </c>
      <c r="F13" s="2">
        <f t="shared" si="1"/>
        <v>0</v>
      </c>
      <c r="G13" s="2">
        <f t="shared" si="2"/>
        <v>5</v>
      </c>
      <c r="H13" s="2">
        <f t="shared" si="3"/>
        <v>0</v>
      </c>
      <c r="I13" s="2">
        <f t="shared" si="4"/>
        <v>0</v>
      </c>
      <c r="J13" s="2">
        <f t="shared" si="5"/>
        <v>2</v>
      </c>
      <c r="K13" s="33">
        <f t="shared" si="6"/>
        <v>5</v>
      </c>
      <c r="L13" s="37">
        <f t="shared" si="7"/>
        <v>4</v>
      </c>
    </row>
    <row r="14" spans="2:12" ht="15.95" customHeight="1" x14ac:dyDescent="0.25">
      <c r="B14" s="13" t="s">
        <v>5</v>
      </c>
      <c r="C14" s="2">
        <f t="shared" si="0"/>
        <v>3</v>
      </c>
      <c r="D14" s="2">
        <f>SUM(Tabelle1[#This Row])</f>
        <v>21</v>
      </c>
      <c r="E14" s="12">
        <f>AVERAGE(Tabelle1[#This Row])</f>
        <v>3</v>
      </c>
      <c r="F14" s="2">
        <f t="shared" si="1"/>
        <v>1</v>
      </c>
      <c r="G14" s="2">
        <f t="shared" si="2"/>
        <v>3</v>
      </c>
      <c r="H14" s="2">
        <f t="shared" si="3"/>
        <v>2</v>
      </c>
      <c r="I14" s="2">
        <f t="shared" si="4"/>
        <v>4</v>
      </c>
      <c r="J14" s="2">
        <f t="shared" si="5"/>
        <v>2</v>
      </c>
      <c r="K14" s="33">
        <f t="shared" si="6"/>
        <v>5</v>
      </c>
      <c r="L14" s="37">
        <f t="shared" si="7"/>
        <v>4</v>
      </c>
    </row>
    <row r="15" spans="2:12" ht="15.95" customHeight="1" x14ac:dyDescent="0.25">
      <c r="B15" s="13" t="s">
        <v>10</v>
      </c>
      <c r="C15" s="2">
        <f t="shared" si="0"/>
        <v>8</v>
      </c>
      <c r="D15" s="2">
        <f>SUM(Tabelle1[#This Row])</f>
        <v>19</v>
      </c>
      <c r="E15" s="12">
        <f>AVERAGE(Tabelle1[#This Row])</f>
        <v>2.7142857142857144</v>
      </c>
      <c r="F15" s="2">
        <f t="shared" si="1"/>
        <v>2</v>
      </c>
      <c r="G15" s="2">
        <f t="shared" si="2"/>
        <v>2</v>
      </c>
      <c r="H15" s="2">
        <f t="shared" si="3"/>
        <v>4</v>
      </c>
      <c r="I15" s="2">
        <f t="shared" si="4"/>
        <v>2</v>
      </c>
      <c r="J15" s="2">
        <f t="shared" si="5"/>
        <v>5</v>
      </c>
      <c r="K15" s="33">
        <f t="shared" si="6"/>
        <v>3</v>
      </c>
      <c r="L15" s="37">
        <f t="shared" si="7"/>
        <v>1</v>
      </c>
    </row>
    <row r="16" spans="2:12" ht="15.95" customHeight="1" x14ac:dyDescent="0.25">
      <c r="B16" s="13" t="s">
        <v>14</v>
      </c>
      <c r="C16" s="2">
        <f t="shared" si="0"/>
        <v>9</v>
      </c>
      <c r="D16" s="2">
        <f>SUM(Tabelle1[#This Row])</f>
        <v>18</v>
      </c>
      <c r="E16" s="12">
        <f>AVERAGE(Tabelle1[#This Row])</f>
        <v>2.5714285714285716</v>
      </c>
      <c r="F16" s="2">
        <f t="shared" si="1"/>
        <v>3</v>
      </c>
      <c r="G16" s="2">
        <f t="shared" si="2"/>
        <v>1</v>
      </c>
      <c r="H16" s="2">
        <f t="shared" si="3"/>
        <v>3</v>
      </c>
      <c r="I16" s="2">
        <f t="shared" si="4"/>
        <v>4</v>
      </c>
      <c r="J16" s="2">
        <f t="shared" si="5"/>
        <v>3</v>
      </c>
      <c r="K16" s="33">
        <f t="shared" si="6"/>
        <v>3</v>
      </c>
      <c r="L16" s="37">
        <f t="shared" si="7"/>
        <v>1</v>
      </c>
    </row>
    <row r="17" spans="2:29" ht="7.5" customHeight="1" x14ac:dyDescent="0.25"/>
    <row r="18" spans="2:29" ht="15.95" customHeight="1" thickBot="1" x14ac:dyDescent="0.3">
      <c r="B18" s="22" t="s">
        <v>37</v>
      </c>
      <c r="C18" s="21"/>
      <c r="D18" s="21"/>
      <c r="E18" s="21"/>
      <c r="F18" s="23">
        <f>SUM(Tabelle1[Apr 25])/60</f>
        <v>0.46666666666666667</v>
      </c>
      <c r="G18" s="23">
        <f>SUM(Tabelle1[Mai 25])/60</f>
        <v>0.6166666666666667</v>
      </c>
      <c r="H18" s="23">
        <f>SUM(Tabelle1[Jul 25])/60</f>
        <v>0.46666666666666667</v>
      </c>
      <c r="I18" s="23">
        <f>SUM(Tabelle1[Sep 25])/60</f>
        <v>0.56666666666666665</v>
      </c>
      <c r="J18" s="23">
        <f>SUM(Tabelle1[Jan 26])/60</f>
        <v>0.6</v>
      </c>
      <c r="K18" s="23">
        <f>SUM(Tabelle1[Mrz 26])/60</f>
        <v>0.6333333333333333</v>
      </c>
      <c r="L18" s="23">
        <f>SUM(Tabelle1[Mrz 26])/60</f>
        <v>0.6333333333333333</v>
      </c>
    </row>
    <row r="19" spans="2:29" ht="15.95" customHeight="1" thickTop="1" x14ac:dyDescent="0.25"/>
    <row r="20" spans="2:29" ht="15.95" customHeight="1" x14ac:dyDescent="0.25"/>
    <row r="21" spans="2:29" ht="15.95" customHeight="1" x14ac:dyDescent="0.25">
      <c r="B21" s="9" t="s">
        <v>0</v>
      </c>
      <c r="C21" s="7" t="s">
        <v>15</v>
      </c>
      <c r="D21" s="7" t="s">
        <v>1</v>
      </c>
      <c r="E21" s="28">
        <v>1</v>
      </c>
      <c r="F21" s="29">
        <v>2</v>
      </c>
      <c r="G21" s="29">
        <v>3</v>
      </c>
      <c r="H21" s="8" t="s">
        <v>16</v>
      </c>
      <c r="I21" s="28">
        <v>4</v>
      </c>
      <c r="J21" s="29">
        <v>5</v>
      </c>
      <c r="K21" s="29">
        <v>6</v>
      </c>
      <c r="L21" s="8" t="s">
        <v>17</v>
      </c>
      <c r="M21" s="28">
        <v>7</v>
      </c>
      <c r="N21" s="29">
        <v>8</v>
      </c>
      <c r="O21" s="29">
        <v>9</v>
      </c>
      <c r="P21" s="8" t="s">
        <v>18</v>
      </c>
      <c r="Q21" s="28">
        <v>10</v>
      </c>
      <c r="R21" s="29">
        <v>11</v>
      </c>
      <c r="S21" s="29">
        <v>12</v>
      </c>
      <c r="T21" s="8" t="s">
        <v>19</v>
      </c>
      <c r="U21" s="31">
        <v>1</v>
      </c>
      <c r="V21" s="31">
        <v>2</v>
      </c>
      <c r="W21" s="31">
        <v>3</v>
      </c>
      <c r="X21" s="31">
        <v>4</v>
      </c>
      <c r="Y21" s="10" t="s">
        <v>7</v>
      </c>
      <c r="Z21" s="10" t="s">
        <v>20</v>
      </c>
      <c r="AA21" s="10" t="s">
        <v>36</v>
      </c>
      <c r="AB21" s="10" t="s">
        <v>27</v>
      </c>
      <c r="AC21" s="10" t="s">
        <v>38</v>
      </c>
    </row>
    <row r="22" spans="2:29" ht="15.95" customHeight="1" x14ac:dyDescent="0.25">
      <c r="B22" s="11">
        <v>45748</v>
      </c>
      <c r="C22" s="25" t="s">
        <v>4</v>
      </c>
      <c r="D22" s="25" t="s">
        <v>2</v>
      </c>
      <c r="E22" s="24" t="s">
        <v>3</v>
      </c>
      <c r="F22" s="25" t="s">
        <v>4</v>
      </c>
      <c r="G22" s="25" t="s">
        <v>13</v>
      </c>
      <c r="H22" s="3"/>
      <c r="I22" s="24" t="s">
        <v>8</v>
      </c>
      <c r="J22" s="25" t="s">
        <v>5</v>
      </c>
      <c r="K22" s="25" t="s">
        <v>6</v>
      </c>
      <c r="L22" s="3"/>
      <c r="M22" s="30" t="s">
        <v>9</v>
      </c>
      <c r="N22" s="25" t="s">
        <v>10</v>
      </c>
      <c r="O22" s="25" t="s">
        <v>11</v>
      </c>
      <c r="P22" s="3"/>
      <c r="Q22" s="24" t="s">
        <v>1</v>
      </c>
      <c r="R22" s="25" t="s">
        <v>12</v>
      </c>
      <c r="S22" s="25" t="s">
        <v>14</v>
      </c>
      <c r="T22" s="3"/>
      <c r="U22" s="2"/>
      <c r="V22" s="2"/>
      <c r="W22" s="2"/>
      <c r="X22" s="2"/>
    </row>
    <row r="23" spans="2:29" ht="15.95" customHeight="1" x14ac:dyDescent="0.25">
      <c r="B23" s="4"/>
      <c r="C23" s="27" t="s">
        <v>3</v>
      </c>
      <c r="D23" s="5"/>
      <c r="E23" s="26">
        <v>2</v>
      </c>
      <c r="F23" s="27">
        <v>2</v>
      </c>
      <c r="G23" s="27">
        <v>4</v>
      </c>
      <c r="H23" s="6">
        <f>SUM(E23:G23)</f>
        <v>8</v>
      </c>
      <c r="I23" s="26">
        <v>2</v>
      </c>
      <c r="J23" s="27">
        <v>1</v>
      </c>
      <c r="K23" s="27">
        <v>2</v>
      </c>
      <c r="L23" s="6">
        <f>SUM(I23:K23)</f>
        <v>5</v>
      </c>
      <c r="M23" s="26">
        <v>4</v>
      </c>
      <c r="N23" s="27">
        <v>2</v>
      </c>
      <c r="O23" s="27">
        <v>4</v>
      </c>
      <c r="P23" s="6">
        <f>SUM(M23:O23)</f>
        <v>10</v>
      </c>
      <c r="Q23" s="26">
        <v>0</v>
      </c>
      <c r="R23" s="27">
        <v>2</v>
      </c>
      <c r="S23" s="27">
        <v>3</v>
      </c>
      <c r="T23" s="6">
        <f>SUM(Q23:S23)</f>
        <v>5</v>
      </c>
      <c r="U23" s="5">
        <f>H23</f>
        <v>8</v>
      </c>
      <c r="V23" s="5">
        <f>U23+L23</f>
        <v>13</v>
      </c>
      <c r="W23" s="5">
        <f>V23+P23</f>
        <v>23</v>
      </c>
      <c r="X23" s="5">
        <f>W23+T23</f>
        <v>28</v>
      </c>
      <c r="Y23" s="5" cm="1">
        <f t="array" ref="Y23">IF(SUMPRODUCT((E22:S22=C22)*(E23:S23))&lt;3,0,SUMPRODUCT((E22:S22=C22)*(E23:S23)))+IF(SUMPRODUCT((E22:S22=C23)*(E23:S23))&lt;3,0,SUMPRODUCT((E22:S22=C23)*(E23:S23)))</f>
        <v>0</v>
      </c>
      <c r="Z23" s="5">
        <f>SUM(X23:Y23)</f>
        <v>28</v>
      </c>
      <c r="AA23" s="20">
        <f>X23/60</f>
        <v>0.46666666666666667</v>
      </c>
      <c r="AB23" s="27">
        <v>14</v>
      </c>
      <c r="AC23" s="27">
        <v>14</v>
      </c>
    </row>
    <row r="24" spans="2:29" ht="15.95" customHeight="1" x14ac:dyDescent="0.25">
      <c r="B24" s="11">
        <v>45778</v>
      </c>
      <c r="C24" s="25" t="s">
        <v>11</v>
      </c>
      <c r="D24" s="25" t="s">
        <v>21</v>
      </c>
      <c r="E24" s="24" t="s">
        <v>3</v>
      </c>
      <c r="F24" s="25" t="s">
        <v>5</v>
      </c>
      <c r="G24" s="25" t="s">
        <v>14</v>
      </c>
      <c r="H24" s="3"/>
      <c r="I24" s="24" t="s">
        <v>4</v>
      </c>
      <c r="J24" s="25" t="s">
        <v>1</v>
      </c>
      <c r="K24" s="25" t="s">
        <v>6</v>
      </c>
      <c r="L24" s="3"/>
      <c r="M24" s="24" t="s">
        <v>8</v>
      </c>
      <c r="N24" s="25" t="s">
        <v>10</v>
      </c>
      <c r="O24" s="25" t="s">
        <v>13</v>
      </c>
      <c r="P24" s="3"/>
      <c r="Q24" s="24" t="s">
        <v>12</v>
      </c>
      <c r="R24" s="25" t="s">
        <v>11</v>
      </c>
      <c r="S24" s="25" t="s">
        <v>9</v>
      </c>
      <c r="T24" s="3"/>
      <c r="U24" s="2"/>
      <c r="V24" s="2"/>
      <c r="W24" s="2"/>
      <c r="X24" s="2"/>
    </row>
    <row r="25" spans="2:29" ht="15.95" customHeight="1" x14ac:dyDescent="0.25">
      <c r="B25" s="4"/>
      <c r="C25" s="27" t="s">
        <v>9</v>
      </c>
      <c r="D25" s="5"/>
      <c r="E25" s="26">
        <v>3</v>
      </c>
      <c r="F25" s="27">
        <v>3</v>
      </c>
      <c r="G25" s="27">
        <v>1</v>
      </c>
      <c r="H25" s="6">
        <f>SUM(E25:G25)</f>
        <v>7</v>
      </c>
      <c r="I25" s="26">
        <v>4</v>
      </c>
      <c r="J25" s="27">
        <v>5</v>
      </c>
      <c r="K25" s="27">
        <v>4</v>
      </c>
      <c r="L25" s="6">
        <f>SUM(I25:K25)</f>
        <v>13</v>
      </c>
      <c r="M25" s="26">
        <v>3</v>
      </c>
      <c r="N25" s="27">
        <v>2</v>
      </c>
      <c r="O25" s="27">
        <v>3</v>
      </c>
      <c r="P25" s="6">
        <f>SUM(M25:O25)</f>
        <v>8</v>
      </c>
      <c r="Q25" s="26">
        <v>3</v>
      </c>
      <c r="R25" s="27">
        <v>3</v>
      </c>
      <c r="S25" s="27">
        <v>3</v>
      </c>
      <c r="T25" s="6">
        <f>SUM(Q25:S25)</f>
        <v>9</v>
      </c>
      <c r="U25" s="5">
        <f>H25</f>
        <v>7</v>
      </c>
      <c r="V25" s="5">
        <f>U25+L25</f>
        <v>20</v>
      </c>
      <c r="W25" s="5">
        <f>V25+P25</f>
        <v>28</v>
      </c>
      <c r="X25" s="5">
        <f>W25+T25</f>
        <v>37</v>
      </c>
      <c r="Y25" s="5" cm="1">
        <f t="array" ref="Y25">IF(SUMPRODUCT((E24:S24=C24)*(E25:S25))&lt;3,0,SUMPRODUCT((E24:S24=C24)*(E25:S25)))+IF(SUMPRODUCT((E24:S24=C25)*(E25:S25))&lt;3,0,SUMPRODUCT((E24:S24=C25)*(E25:S25)))</f>
        <v>6</v>
      </c>
      <c r="Z25" s="5">
        <f>SUM(X25:Y25)</f>
        <v>43</v>
      </c>
      <c r="AA25" s="20">
        <f>X25/60</f>
        <v>0.6166666666666667</v>
      </c>
      <c r="AB25" s="27">
        <v>7</v>
      </c>
      <c r="AC25" s="27">
        <v>13</v>
      </c>
    </row>
    <row r="26" spans="2:29" ht="15.95" customHeight="1" x14ac:dyDescent="0.25">
      <c r="B26" s="11">
        <v>45839</v>
      </c>
      <c r="C26" s="25" t="s">
        <v>11</v>
      </c>
      <c r="D26" s="25" t="s">
        <v>22</v>
      </c>
      <c r="E26" s="24" t="s">
        <v>5</v>
      </c>
      <c r="F26" s="25" t="s">
        <v>4</v>
      </c>
      <c r="G26" s="25" t="s">
        <v>3</v>
      </c>
      <c r="H26" s="3"/>
      <c r="I26" s="24" t="s">
        <v>8</v>
      </c>
      <c r="J26" s="25" t="s">
        <v>14</v>
      </c>
      <c r="K26" s="25" t="s">
        <v>6</v>
      </c>
      <c r="L26" s="3"/>
      <c r="M26" s="24" t="s">
        <v>12</v>
      </c>
      <c r="N26" s="25" t="s">
        <v>9</v>
      </c>
      <c r="O26" s="25" t="s">
        <v>1</v>
      </c>
      <c r="P26" s="3"/>
      <c r="Q26" s="24" t="s">
        <v>13</v>
      </c>
      <c r="R26" s="25" t="s">
        <v>11</v>
      </c>
      <c r="S26" s="25" t="s">
        <v>10</v>
      </c>
      <c r="T26" s="3"/>
      <c r="U26" s="2"/>
      <c r="V26" s="2"/>
      <c r="W26" s="2"/>
      <c r="X26" s="2"/>
    </row>
    <row r="27" spans="2:29" ht="15.95" customHeight="1" x14ac:dyDescent="0.25">
      <c r="B27" s="4"/>
      <c r="C27" s="27" t="s">
        <v>9</v>
      </c>
      <c r="D27" s="5"/>
      <c r="E27" s="26">
        <v>2</v>
      </c>
      <c r="F27" s="27">
        <v>4</v>
      </c>
      <c r="G27" s="27">
        <v>2</v>
      </c>
      <c r="H27" s="6">
        <f>SUM(E27:G27)</f>
        <v>8</v>
      </c>
      <c r="I27" s="26">
        <v>2</v>
      </c>
      <c r="J27" s="27">
        <v>3</v>
      </c>
      <c r="K27" s="27">
        <v>1</v>
      </c>
      <c r="L27" s="6">
        <f>SUM(I27:K27)</f>
        <v>6</v>
      </c>
      <c r="M27" s="26">
        <v>4</v>
      </c>
      <c r="N27" s="27">
        <v>2</v>
      </c>
      <c r="O27" s="27">
        <v>0</v>
      </c>
      <c r="P27" s="6">
        <f>SUM(M27:O27)</f>
        <v>6</v>
      </c>
      <c r="Q27" s="26">
        <v>2</v>
      </c>
      <c r="R27" s="27">
        <v>2</v>
      </c>
      <c r="S27" s="27">
        <v>4</v>
      </c>
      <c r="T27" s="6">
        <f>SUM(Q27:S27)</f>
        <v>8</v>
      </c>
      <c r="U27" s="5">
        <f>H27</f>
        <v>8</v>
      </c>
      <c r="V27" s="5">
        <f>U27+L27</f>
        <v>14</v>
      </c>
      <c r="W27" s="5">
        <f>V27+P27</f>
        <v>20</v>
      </c>
      <c r="X27" s="5">
        <f>W27+T27</f>
        <v>28</v>
      </c>
      <c r="Y27" s="5" cm="1">
        <f t="array" ref="Y27">IF(SUMPRODUCT((E26:S26=C26)*(E27:S27))&lt;3,0,SUMPRODUCT((E26:S26=C26)*(E27:S27)))+IF(SUMPRODUCT((E26:S26=C27)*(E27:S27))&lt;3,0,SUMPRODUCT((E26:S26=C27)*(E27:S27)))</f>
        <v>0</v>
      </c>
      <c r="Z27" s="5">
        <f>SUM(X27:Y27)</f>
        <v>28</v>
      </c>
      <c r="AA27" s="20">
        <f>X27/60</f>
        <v>0.46666666666666667</v>
      </c>
      <c r="AB27" s="35">
        <v>10</v>
      </c>
      <c r="AC27" s="35">
        <v>10</v>
      </c>
    </row>
    <row r="28" spans="2:29" ht="15.95" customHeight="1" x14ac:dyDescent="0.25">
      <c r="B28" s="11">
        <v>45901</v>
      </c>
      <c r="C28" s="25" t="s">
        <v>11</v>
      </c>
      <c r="D28" s="25" t="s">
        <v>23</v>
      </c>
      <c r="E28" s="24" t="s">
        <v>4</v>
      </c>
      <c r="F28" s="25" t="s">
        <v>5</v>
      </c>
      <c r="G28" s="25" t="s">
        <v>9</v>
      </c>
      <c r="H28" s="3"/>
      <c r="I28" s="24" t="s">
        <v>13</v>
      </c>
      <c r="J28" s="25" t="s">
        <v>12</v>
      </c>
      <c r="K28" s="25" t="s">
        <v>6</v>
      </c>
      <c r="L28" s="3"/>
      <c r="M28" s="24" t="s">
        <v>1</v>
      </c>
      <c r="N28" s="25" t="s">
        <v>10</v>
      </c>
      <c r="O28" s="25" t="s">
        <v>8</v>
      </c>
      <c r="P28" s="3"/>
      <c r="Q28" s="24" t="s">
        <v>11</v>
      </c>
      <c r="R28" s="25" t="s">
        <v>14</v>
      </c>
      <c r="S28" s="25" t="s">
        <v>3</v>
      </c>
      <c r="T28" s="3"/>
      <c r="U28" s="2"/>
      <c r="V28" s="2"/>
      <c r="W28" s="2"/>
      <c r="X28" s="2"/>
    </row>
    <row r="29" spans="2:29" ht="15.95" customHeight="1" x14ac:dyDescent="0.25">
      <c r="B29" s="4"/>
      <c r="C29" s="27" t="s">
        <v>4</v>
      </c>
      <c r="D29" s="5"/>
      <c r="E29" s="26">
        <v>4</v>
      </c>
      <c r="F29" s="27">
        <v>4</v>
      </c>
      <c r="G29" s="27">
        <v>3</v>
      </c>
      <c r="H29" s="6">
        <f>SUM(E29:G29)</f>
        <v>11</v>
      </c>
      <c r="I29" s="26">
        <v>2</v>
      </c>
      <c r="J29" s="27">
        <v>3</v>
      </c>
      <c r="K29" s="27">
        <v>4</v>
      </c>
      <c r="L29" s="6">
        <f>SUM(I29:K29)</f>
        <v>9</v>
      </c>
      <c r="M29" s="26">
        <v>0</v>
      </c>
      <c r="N29" s="27">
        <v>2</v>
      </c>
      <c r="O29" s="27">
        <v>3</v>
      </c>
      <c r="P29" s="6">
        <f>SUM(M29:O29)</f>
        <v>5</v>
      </c>
      <c r="Q29" s="26">
        <v>2</v>
      </c>
      <c r="R29" s="27">
        <v>4</v>
      </c>
      <c r="S29" s="27">
        <v>3</v>
      </c>
      <c r="T29" s="6">
        <f>SUM(Q29:S29)</f>
        <v>9</v>
      </c>
      <c r="U29" s="5">
        <f>H29</f>
        <v>11</v>
      </c>
      <c r="V29" s="5">
        <f>U29+L29</f>
        <v>20</v>
      </c>
      <c r="W29" s="5">
        <f>V29+P29</f>
        <v>25</v>
      </c>
      <c r="X29" s="5">
        <f>W29+T29</f>
        <v>34</v>
      </c>
      <c r="Y29" s="5" cm="1">
        <f t="array" ref="Y29">IF(SUMPRODUCT((E28:S28=C28)*(E29:S29))&lt;3,0,SUMPRODUCT((E28:S28=C28)*(E29:S29)))+IF(SUMPRODUCT((E28:S28=C29)*(E29:S29))&lt;3,0,SUMPRODUCT((E28:S28=C29)*(E29:S29)))</f>
        <v>4</v>
      </c>
      <c r="Z29" s="5">
        <f>SUM(X29:Y29)</f>
        <v>38</v>
      </c>
      <c r="AA29" s="20">
        <f>X29/60</f>
        <v>0.56666666666666665</v>
      </c>
      <c r="AB29" s="27">
        <v>3</v>
      </c>
      <c r="AC29" s="27">
        <v>10</v>
      </c>
    </row>
    <row r="30" spans="2:29" ht="15.95" customHeight="1" x14ac:dyDescent="0.25">
      <c r="B30" s="11">
        <v>46023</v>
      </c>
      <c r="C30" s="25" t="s">
        <v>8</v>
      </c>
      <c r="D30" s="25" t="s">
        <v>35</v>
      </c>
      <c r="E30" s="24" t="s">
        <v>14</v>
      </c>
      <c r="F30" s="25" t="s">
        <v>8</v>
      </c>
      <c r="G30" s="25" t="s">
        <v>4</v>
      </c>
      <c r="H30" s="3"/>
      <c r="I30" s="24" t="s">
        <v>13</v>
      </c>
      <c r="J30" s="25" t="s">
        <v>1</v>
      </c>
      <c r="K30" s="25" t="s">
        <v>6</v>
      </c>
      <c r="L30" s="3"/>
      <c r="M30" s="24" t="s">
        <v>11</v>
      </c>
      <c r="N30" s="25" t="s">
        <v>12</v>
      </c>
      <c r="O30" s="25" t="s">
        <v>9</v>
      </c>
      <c r="P30" s="3"/>
      <c r="Q30" s="24" t="s">
        <v>10</v>
      </c>
      <c r="R30" s="25" t="s">
        <v>3</v>
      </c>
      <c r="S30" s="25" t="s">
        <v>5</v>
      </c>
      <c r="T30" s="3"/>
      <c r="U30" s="2"/>
      <c r="V30" s="2"/>
      <c r="W30" s="2"/>
      <c r="X30" s="2"/>
    </row>
    <row r="31" spans="2:29" ht="15.95" customHeight="1" x14ac:dyDescent="0.25">
      <c r="B31" s="4"/>
      <c r="C31" s="27" t="s">
        <v>12</v>
      </c>
      <c r="D31" s="5"/>
      <c r="E31" s="26">
        <v>3</v>
      </c>
      <c r="F31" s="27">
        <v>2</v>
      </c>
      <c r="G31" s="27">
        <v>4</v>
      </c>
      <c r="H31" s="6">
        <f>SUM(E31:G31)</f>
        <v>9</v>
      </c>
      <c r="I31" s="26">
        <v>2</v>
      </c>
      <c r="J31" s="27">
        <v>2</v>
      </c>
      <c r="K31" s="27">
        <v>5</v>
      </c>
      <c r="L31" s="6">
        <f>SUM(I31:K31)</f>
        <v>9</v>
      </c>
      <c r="M31" s="26">
        <v>4</v>
      </c>
      <c r="N31" s="27">
        <v>1</v>
      </c>
      <c r="O31" s="27">
        <v>4</v>
      </c>
      <c r="P31" s="6">
        <f>SUM(M31:O31)</f>
        <v>9</v>
      </c>
      <c r="Q31" s="26">
        <v>5</v>
      </c>
      <c r="R31" s="27">
        <v>2</v>
      </c>
      <c r="S31" s="27">
        <v>2</v>
      </c>
      <c r="T31" s="6">
        <f>SUM(Q31:S31)</f>
        <v>9</v>
      </c>
      <c r="U31" s="5">
        <f>H31</f>
        <v>9</v>
      </c>
      <c r="V31" s="5">
        <f>U31+L31</f>
        <v>18</v>
      </c>
      <c r="W31" s="5">
        <f>V31+P31</f>
        <v>27</v>
      </c>
      <c r="X31" s="5">
        <f>W31+T31</f>
        <v>36</v>
      </c>
      <c r="Y31" s="5" cm="1">
        <f t="array" ref="Y31">IF(SUMPRODUCT((E30:S30=C30)*(E31:S31))&lt;3,0,SUMPRODUCT((E30:S30=C30)*(E31:S31)))+IF(SUMPRODUCT((E30:S30=C31)*(E31:S31))&lt;3,0,SUMPRODUCT((E30:S30=C31)*(E31:S31)))</f>
        <v>0</v>
      </c>
      <c r="Z31" s="5">
        <f>SUM(X31:Y31)</f>
        <v>36</v>
      </c>
      <c r="AA31" s="20">
        <f>X31/60</f>
        <v>0.6</v>
      </c>
      <c r="AB31" s="27">
        <v>11</v>
      </c>
      <c r="AC31" s="27">
        <v>14</v>
      </c>
    </row>
    <row r="32" spans="2:29" ht="15.95" customHeight="1" x14ac:dyDescent="0.25">
      <c r="B32" s="11">
        <v>46082</v>
      </c>
      <c r="C32" s="25" t="s">
        <v>4</v>
      </c>
      <c r="D32" s="32" t="s">
        <v>39</v>
      </c>
      <c r="E32" s="24" t="s">
        <v>4</v>
      </c>
      <c r="F32" s="25" t="s">
        <v>11</v>
      </c>
      <c r="G32" s="25" t="s">
        <v>9</v>
      </c>
      <c r="H32" s="3"/>
      <c r="I32" s="24" t="s">
        <v>8</v>
      </c>
      <c r="J32" s="25" t="s">
        <v>14</v>
      </c>
      <c r="K32" s="25" t="s">
        <v>6</v>
      </c>
      <c r="L32" s="3"/>
      <c r="M32" s="24" t="s">
        <v>1</v>
      </c>
      <c r="N32" s="25" t="s">
        <v>10</v>
      </c>
      <c r="O32" s="25" t="s">
        <v>12</v>
      </c>
      <c r="P32" s="3"/>
      <c r="Q32" s="24" t="s">
        <v>13</v>
      </c>
      <c r="R32" s="25" t="s">
        <v>3</v>
      </c>
      <c r="S32" s="25" t="s">
        <v>5</v>
      </c>
      <c r="T32" s="3"/>
      <c r="U32" s="2"/>
      <c r="V32" s="2"/>
      <c r="W32" s="2"/>
      <c r="X32" s="2"/>
    </row>
    <row r="33" spans="2:29" ht="15.95" customHeight="1" x14ac:dyDescent="0.25">
      <c r="B33" s="4"/>
      <c r="C33" s="27" t="s">
        <v>9</v>
      </c>
      <c r="D33" s="5"/>
      <c r="E33" s="26">
        <v>2</v>
      </c>
      <c r="F33" s="27">
        <v>3</v>
      </c>
      <c r="G33" s="27">
        <v>4</v>
      </c>
      <c r="H33" s="6">
        <f>SUM(E33:G33)</f>
        <v>9</v>
      </c>
      <c r="I33" s="26">
        <v>2</v>
      </c>
      <c r="J33" s="27">
        <v>3</v>
      </c>
      <c r="K33" s="27">
        <v>2</v>
      </c>
      <c r="L33" s="6">
        <f>SUM(I33:K33)</f>
        <v>7</v>
      </c>
      <c r="M33" s="26">
        <v>5</v>
      </c>
      <c r="N33" s="27">
        <v>3</v>
      </c>
      <c r="O33" s="27">
        <v>2</v>
      </c>
      <c r="P33" s="6">
        <f>SUM(M33:O33)</f>
        <v>10</v>
      </c>
      <c r="Q33" s="26">
        <v>3</v>
      </c>
      <c r="R33" s="27">
        <v>4</v>
      </c>
      <c r="S33" s="27">
        <v>5</v>
      </c>
      <c r="T33" s="6">
        <f>SUM(Q33:S33)</f>
        <v>12</v>
      </c>
      <c r="U33" s="5">
        <f>H33</f>
        <v>9</v>
      </c>
      <c r="V33" s="5">
        <f>U33+L33</f>
        <v>16</v>
      </c>
      <c r="W33" s="5">
        <f>V33+P33</f>
        <v>26</v>
      </c>
      <c r="X33" s="5">
        <f>W33+T33</f>
        <v>38</v>
      </c>
      <c r="Y33" s="5" cm="1">
        <f t="array" ref="Y33">IF(SUMPRODUCT((E32:S32=C32)*(E33:S33))&lt;3,0,SUMPRODUCT((E32:S32=C32)*(E33:S33)))+IF(SUMPRODUCT((E32:S32=C33)*(E33:S33))&lt;3,0,SUMPRODUCT((E32:S32=C33)*(E33:S33)))</f>
        <v>4</v>
      </c>
      <c r="Z33" s="5">
        <f>SUM(X33:Y33)</f>
        <v>42</v>
      </c>
      <c r="AA33" s="20">
        <f>X33/60</f>
        <v>0.6333333333333333</v>
      </c>
      <c r="AB33" s="27">
        <v>8</v>
      </c>
      <c r="AC33" s="27">
        <v>15</v>
      </c>
    </row>
    <row r="34" spans="2:29" ht="15.95" customHeight="1" x14ac:dyDescent="0.25">
      <c r="B34" s="11">
        <v>46113</v>
      </c>
      <c r="C34" s="25" t="s">
        <v>4</v>
      </c>
      <c r="D34" s="36" t="s">
        <v>41</v>
      </c>
      <c r="E34" s="24" t="s">
        <v>4</v>
      </c>
      <c r="F34" s="25" t="s">
        <v>11</v>
      </c>
      <c r="G34" s="25" t="s">
        <v>9</v>
      </c>
      <c r="H34" s="3"/>
      <c r="I34" s="24" t="s">
        <v>8</v>
      </c>
      <c r="J34" s="25" t="s">
        <v>14</v>
      </c>
      <c r="K34" s="25" t="s">
        <v>6</v>
      </c>
      <c r="L34" s="3"/>
      <c r="M34" s="24" t="s">
        <v>1</v>
      </c>
      <c r="N34" s="25" t="s">
        <v>10</v>
      </c>
      <c r="O34" s="25" t="s">
        <v>12</v>
      </c>
      <c r="P34" s="3"/>
      <c r="Q34" s="24" t="s">
        <v>13</v>
      </c>
      <c r="R34" s="25" t="s">
        <v>3</v>
      </c>
      <c r="S34" s="25" t="s">
        <v>5</v>
      </c>
      <c r="T34" s="3"/>
      <c r="U34" s="2"/>
      <c r="V34" s="2"/>
      <c r="W34" s="2"/>
      <c r="X34" s="2"/>
    </row>
    <row r="35" spans="2:29" ht="15.95" customHeight="1" x14ac:dyDescent="0.25">
      <c r="B35" s="4"/>
      <c r="C35" s="27" t="s">
        <v>1</v>
      </c>
      <c r="D35" s="5"/>
      <c r="E35" s="26">
        <v>4</v>
      </c>
      <c r="F35" s="27">
        <v>2</v>
      </c>
      <c r="G35" s="27">
        <v>1</v>
      </c>
      <c r="H35" s="6">
        <f>SUM(E35:G35)</f>
        <v>7</v>
      </c>
      <c r="I35" s="26">
        <v>4</v>
      </c>
      <c r="J35" s="27">
        <v>1</v>
      </c>
      <c r="K35" s="27">
        <v>4</v>
      </c>
      <c r="L35" s="6">
        <f>SUM(I35:K35)</f>
        <v>9</v>
      </c>
      <c r="M35" s="26">
        <v>4</v>
      </c>
      <c r="N35" s="27">
        <v>1</v>
      </c>
      <c r="O35" s="27">
        <v>2</v>
      </c>
      <c r="P35" s="6">
        <f>SUM(M35:O35)</f>
        <v>7</v>
      </c>
      <c r="Q35" s="26">
        <v>4</v>
      </c>
      <c r="R35" s="27">
        <v>4</v>
      </c>
      <c r="S35" s="27">
        <v>4</v>
      </c>
      <c r="T35" s="6">
        <f>SUM(Q35:S35)</f>
        <v>12</v>
      </c>
      <c r="U35" s="5">
        <f>H35</f>
        <v>7</v>
      </c>
      <c r="V35" s="5">
        <f>U35+L35</f>
        <v>16</v>
      </c>
      <c r="W35" s="5">
        <f>V35+P35</f>
        <v>23</v>
      </c>
      <c r="X35" s="5">
        <f>W35+T35</f>
        <v>35</v>
      </c>
      <c r="Y35" s="5" cm="1">
        <f t="array" ref="Y35">IF(SUMPRODUCT((E34:S34=C34)*(E35:S35))&lt;3,0,SUMPRODUCT((E34:S34=C34)*(E35:S35)))+IF(SUMPRODUCT((E34:S34=C35)*(E35:S35))&lt;3,0,SUMPRODUCT((E34:S34=C35)*(E35:S35)))</f>
        <v>8</v>
      </c>
      <c r="Z35" s="5">
        <f>SUM(X35:Y35)</f>
        <v>43</v>
      </c>
      <c r="AA35" s="20">
        <f>X35/60</f>
        <v>0.58333333333333337</v>
      </c>
      <c r="AB35" s="27">
        <v>7</v>
      </c>
      <c r="AC35" s="27">
        <v>16</v>
      </c>
    </row>
    <row r="36" spans="2:29" ht="15.95" customHeight="1" x14ac:dyDescent="0.25"/>
    <row r="37" spans="2:29" ht="15.95" customHeight="1" x14ac:dyDescent="0.25"/>
    <row r="38" spans="2:29" ht="15.95" customHeight="1" x14ac:dyDescent="0.25"/>
    <row r="39" spans="2:29" ht="15.95" customHeight="1" x14ac:dyDescent="0.25"/>
    <row r="40" spans="2:29" ht="15.95" customHeight="1" x14ac:dyDescent="0.25"/>
    <row r="41" spans="2:29" ht="15.95" customHeight="1" x14ac:dyDescent="0.25"/>
    <row r="42" spans="2:29" ht="15.95" customHeight="1" x14ac:dyDescent="0.25"/>
    <row r="43" spans="2:29" ht="15.95" customHeight="1" x14ac:dyDescent="0.25"/>
    <row r="44" spans="2:29" ht="15.95" customHeight="1" x14ac:dyDescent="0.25"/>
    <row r="45" spans="2:29" ht="15.95" customHeight="1" x14ac:dyDescent="0.25"/>
    <row r="46" spans="2:29" ht="15.95" customHeight="1" x14ac:dyDescent="0.25"/>
    <row r="47" spans="2:29" ht="15.95" customHeight="1" x14ac:dyDescent="0.25"/>
    <row r="48" spans="2:29" ht="15.95" customHeight="1" x14ac:dyDescent="0.25"/>
    <row r="49" ht="15.95" customHeight="1" x14ac:dyDescent="0.25"/>
    <row r="50" ht="15.95" customHeight="1" x14ac:dyDescent="0.25"/>
    <row r="51" ht="15.95" customHeight="1" x14ac:dyDescent="0.25"/>
    <row r="52" ht="15.95" customHeight="1" x14ac:dyDescent="0.25"/>
    <row r="53" ht="15.95" customHeight="1" x14ac:dyDescent="0.25"/>
    <row r="54" ht="15.95" customHeight="1" x14ac:dyDescent="0.25"/>
    <row r="55" ht="15.95" customHeight="1" x14ac:dyDescent="0.25"/>
    <row r="56" ht="15.95" customHeight="1" x14ac:dyDescent="0.25"/>
    <row r="57" ht="15.95" customHeight="1" x14ac:dyDescent="0.25"/>
    <row r="58" ht="15.95" customHeight="1" x14ac:dyDescent="0.25"/>
    <row r="59" ht="15.95" customHeight="1" x14ac:dyDescent="0.25"/>
    <row r="60" ht="15.95" customHeight="1" x14ac:dyDescent="0.25"/>
    <row r="61" ht="15.95" customHeight="1" x14ac:dyDescent="0.25"/>
    <row r="62" ht="15.95" customHeight="1" x14ac:dyDescent="0.25"/>
    <row r="63" ht="15.95" customHeight="1" x14ac:dyDescent="0.25"/>
    <row r="64" ht="15.95" customHeight="1" x14ac:dyDescent="0.25"/>
    <row r="65" ht="15.95" customHeight="1" x14ac:dyDescent="0.25"/>
    <row r="66" ht="15.95" customHeight="1" x14ac:dyDescent="0.25"/>
    <row r="67" ht="15.95" customHeight="1" x14ac:dyDescent="0.25"/>
    <row r="68" ht="15.95" customHeight="1" x14ac:dyDescent="0.25"/>
    <row r="69" ht="15.95" customHeight="1" x14ac:dyDescent="0.25"/>
    <row r="70" ht="15.95" customHeight="1" x14ac:dyDescent="0.25"/>
    <row r="71" ht="15.95" customHeight="1" x14ac:dyDescent="0.25"/>
    <row r="72" ht="15.95" customHeight="1" x14ac:dyDescent="0.25"/>
    <row r="73" ht="15.95" customHeight="1" x14ac:dyDescent="0.25"/>
    <row r="74" ht="15.95" customHeight="1" x14ac:dyDescent="0.25"/>
    <row r="75" ht="15.95" customHeight="1" x14ac:dyDescent="0.25"/>
    <row r="76" ht="15.95" customHeight="1" x14ac:dyDescent="0.25"/>
    <row r="77" ht="15.95" customHeight="1" x14ac:dyDescent="0.25"/>
    <row r="78" ht="15.95" customHeight="1" x14ac:dyDescent="0.25"/>
    <row r="79" ht="15.95" customHeight="1" x14ac:dyDescent="0.25"/>
    <row r="80" ht="15.95" customHeight="1" x14ac:dyDescent="0.25"/>
    <row r="81" ht="15.95" customHeight="1" x14ac:dyDescent="0.25"/>
    <row r="82" ht="15.95" customHeight="1" x14ac:dyDescent="0.25"/>
    <row r="83" ht="15.95" customHeight="1" x14ac:dyDescent="0.25"/>
    <row r="84" ht="15.95" customHeight="1" x14ac:dyDescent="0.25"/>
    <row r="85" ht="15.95" customHeight="1" x14ac:dyDescent="0.25"/>
    <row r="86" ht="15.95" customHeight="1" x14ac:dyDescent="0.25"/>
    <row r="87" ht="15.95" customHeight="1" x14ac:dyDescent="0.25"/>
    <row r="88" ht="15.95" customHeight="1" x14ac:dyDescent="0.25"/>
    <row r="89" ht="15.95" customHeight="1" x14ac:dyDescent="0.25"/>
    <row r="90" ht="15.95" customHeight="1" x14ac:dyDescent="0.25"/>
    <row r="91" ht="15.95" customHeight="1" x14ac:dyDescent="0.25"/>
    <row r="92" ht="15.95" customHeight="1" x14ac:dyDescent="0.25"/>
    <row r="93" ht="15.95" customHeight="1" x14ac:dyDescent="0.25"/>
    <row r="94" ht="15.95" customHeight="1" x14ac:dyDescent="0.25"/>
    <row r="95" ht="15.95" customHeight="1" x14ac:dyDescent="0.25"/>
    <row r="96" ht="15.95" customHeight="1" x14ac:dyDescent="0.25"/>
    <row r="97" ht="15.95" customHeight="1" x14ac:dyDescent="0.25"/>
    <row r="98" ht="15.95" customHeight="1" x14ac:dyDescent="0.25"/>
    <row r="99" ht="15.95" customHeight="1" x14ac:dyDescent="0.25"/>
    <row r="100" ht="15.95" customHeight="1" x14ac:dyDescent="0.25"/>
    <row r="101" ht="15.95" customHeight="1" x14ac:dyDescent="0.25"/>
    <row r="102" ht="15.95" customHeight="1" x14ac:dyDescent="0.25"/>
    <row r="103" ht="15.95" customHeight="1" x14ac:dyDescent="0.25"/>
    <row r="104" ht="15.95" customHeight="1" x14ac:dyDescent="0.25"/>
    <row r="105" ht="15.95" customHeight="1" x14ac:dyDescent="0.25"/>
    <row r="106" ht="15.95" customHeight="1" x14ac:dyDescent="0.25"/>
    <row r="107" ht="15.95" customHeight="1" x14ac:dyDescent="0.25"/>
    <row r="108" ht="15.95" customHeight="1" x14ac:dyDescent="0.25"/>
    <row r="109" ht="15.95" customHeight="1" x14ac:dyDescent="0.25"/>
    <row r="110" ht="15.95" customHeight="1" x14ac:dyDescent="0.25"/>
    <row r="111" ht="15.95" customHeight="1" x14ac:dyDescent="0.25"/>
    <row r="112" ht="15.95" customHeight="1" x14ac:dyDescent="0.25"/>
    <row r="113" ht="15.95" customHeight="1" x14ac:dyDescent="0.25"/>
    <row r="114" ht="15.95" customHeight="1" x14ac:dyDescent="0.25"/>
    <row r="115" ht="15.95" customHeight="1" x14ac:dyDescent="0.25"/>
    <row r="116" ht="15.95" customHeight="1" x14ac:dyDescent="0.25"/>
    <row r="117" ht="15.95" customHeight="1" x14ac:dyDescent="0.25"/>
    <row r="118" ht="15.95" customHeight="1" x14ac:dyDescent="0.25"/>
    <row r="119" ht="15.95" customHeight="1" x14ac:dyDescent="0.25"/>
    <row r="120" ht="15.95" customHeight="1" x14ac:dyDescent="0.25"/>
    <row r="121" ht="15.95" customHeight="1" x14ac:dyDescent="0.25"/>
    <row r="122" ht="15.95" customHeight="1" x14ac:dyDescent="0.25"/>
    <row r="123" ht="15.95" customHeight="1" x14ac:dyDescent="0.25"/>
    <row r="124" ht="15.95" customHeight="1" x14ac:dyDescent="0.25"/>
    <row r="125" ht="15.95" customHeight="1" x14ac:dyDescent="0.25"/>
    <row r="126" ht="15.95" customHeight="1" x14ac:dyDescent="0.25"/>
    <row r="127" ht="15.95" customHeight="1" x14ac:dyDescent="0.25"/>
    <row r="128" ht="15.95" customHeight="1" x14ac:dyDescent="0.25"/>
    <row r="129" ht="15.95" customHeight="1" x14ac:dyDescent="0.25"/>
    <row r="130" ht="15.95" customHeight="1" x14ac:dyDescent="0.25"/>
    <row r="131" ht="15.95" customHeight="1" x14ac:dyDescent="0.25"/>
    <row r="132" ht="15.95" customHeight="1" x14ac:dyDescent="0.25"/>
    <row r="133" ht="15.95" customHeight="1" x14ac:dyDescent="0.25"/>
    <row r="134" ht="15.95" customHeight="1" x14ac:dyDescent="0.25"/>
    <row r="135" ht="15.95" customHeight="1" x14ac:dyDescent="0.25"/>
    <row r="136" ht="15.95" customHeight="1" x14ac:dyDescent="0.25"/>
    <row r="137" ht="15.95" customHeight="1" x14ac:dyDescent="0.25"/>
    <row r="138" ht="15.95" customHeight="1" x14ac:dyDescent="0.25"/>
    <row r="139" ht="15.95" customHeight="1" x14ac:dyDescent="0.25"/>
    <row r="140" ht="15.95" customHeight="1" x14ac:dyDescent="0.25"/>
    <row r="141" ht="15.95" customHeight="1" x14ac:dyDescent="0.25"/>
    <row r="142" ht="15.95" customHeight="1" x14ac:dyDescent="0.25"/>
    <row r="143" ht="15.95" customHeight="1" x14ac:dyDescent="0.25"/>
    <row r="144" ht="15.95" customHeight="1" x14ac:dyDescent="0.25"/>
    <row r="145" ht="15.95" customHeight="1" x14ac:dyDescent="0.25"/>
    <row r="146" ht="15.95" customHeight="1" x14ac:dyDescent="0.25"/>
    <row r="147" ht="15.95" customHeight="1" x14ac:dyDescent="0.25"/>
    <row r="148" ht="15.95" customHeight="1" x14ac:dyDescent="0.25"/>
    <row r="149" ht="15.95" customHeight="1" x14ac:dyDescent="0.25"/>
    <row r="150" ht="15.95" customHeight="1" x14ac:dyDescent="0.25"/>
    <row r="151" ht="15.95" customHeight="1" x14ac:dyDescent="0.25"/>
    <row r="152" ht="15.95" customHeight="1" x14ac:dyDescent="0.25"/>
    <row r="153" ht="15.95" customHeight="1" x14ac:dyDescent="0.25"/>
    <row r="154" ht="15.95" customHeight="1" x14ac:dyDescent="0.25"/>
    <row r="155" ht="15.95" customHeight="1" x14ac:dyDescent="0.25"/>
    <row r="156" ht="15.95" customHeight="1" x14ac:dyDescent="0.25"/>
    <row r="157" ht="15.95" customHeight="1" x14ac:dyDescent="0.25"/>
    <row r="158" ht="15.95" customHeight="1" x14ac:dyDescent="0.25"/>
    <row r="159" ht="15.95" customHeight="1" x14ac:dyDescent="0.25"/>
    <row r="160" ht="15.95" customHeight="1" x14ac:dyDescent="0.25"/>
    <row r="161" ht="15.95" customHeight="1" x14ac:dyDescent="0.25"/>
    <row r="162" ht="15.95" customHeight="1" x14ac:dyDescent="0.25"/>
    <row r="163" ht="15.95" customHeight="1" x14ac:dyDescent="0.25"/>
    <row r="164" ht="15.95" customHeight="1" x14ac:dyDescent="0.25"/>
    <row r="165" ht="15.95" customHeight="1" x14ac:dyDescent="0.25"/>
    <row r="166" ht="15.95" customHeight="1" x14ac:dyDescent="0.25"/>
    <row r="167" ht="15.95" customHeight="1" x14ac:dyDescent="0.25"/>
    <row r="168" ht="15.95" customHeight="1" x14ac:dyDescent="0.25"/>
    <row r="169" ht="15.95" customHeight="1" x14ac:dyDescent="0.25"/>
    <row r="170" ht="15.95" customHeight="1" x14ac:dyDescent="0.25"/>
    <row r="171" ht="15.95" customHeight="1" x14ac:dyDescent="0.25"/>
    <row r="172" ht="15.95" customHeight="1" x14ac:dyDescent="0.25"/>
    <row r="173" ht="15.95" customHeight="1" x14ac:dyDescent="0.25"/>
    <row r="174" ht="15.95" customHeight="1" x14ac:dyDescent="0.25"/>
    <row r="175" ht="15.95" customHeight="1" x14ac:dyDescent="0.25"/>
    <row r="176" ht="15.95" customHeight="1" x14ac:dyDescent="0.25"/>
    <row r="177" ht="15.95" customHeight="1" x14ac:dyDescent="0.25"/>
    <row r="178" ht="15.95" customHeight="1" x14ac:dyDescent="0.25"/>
    <row r="179" ht="15.95" customHeight="1" x14ac:dyDescent="0.25"/>
    <row r="180" ht="15.95" customHeight="1" x14ac:dyDescent="0.25"/>
    <row r="181" ht="15.95" customHeight="1" x14ac:dyDescent="0.25"/>
    <row r="182" ht="15.95" customHeight="1" x14ac:dyDescent="0.25"/>
    <row r="183" ht="15.95" customHeight="1" x14ac:dyDescent="0.25"/>
    <row r="184" ht="15.95" customHeight="1" x14ac:dyDescent="0.25"/>
    <row r="185" ht="15.95" customHeight="1" x14ac:dyDescent="0.25"/>
    <row r="186" ht="15.95" customHeight="1" x14ac:dyDescent="0.25"/>
    <row r="187" ht="15.95" customHeight="1" x14ac:dyDescent="0.25"/>
    <row r="188" ht="15.95" customHeight="1" x14ac:dyDescent="0.25"/>
    <row r="189" ht="15.95" customHeight="1" x14ac:dyDescent="0.25"/>
    <row r="190" ht="15.95" customHeight="1" x14ac:dyDescent="0.25"/>
    <row r="191" ht="15.95" customHeight="1" x14ac:dyDescent="0.25"/>
    <row r="192" ht="15.95" customHeight="1" x14ac:dyDescent="0.25"/>
    <row r="193" ht="15.95" customHeight="1" x14ac:dyDescent="0.25"/>
    <row r="194" ht="15.95" customHeight="1" x14ac:dyDescent="0.25"/>
    <row r="195" ht="15.95" customHeight="1" x14ac:dyDescent="0.25"/>
    <row r="196" ht="15.95" customHeight="1" x14ac:dyDescent="0.25"/>
    <row r="197" ht="15.95" customHeight="1" x14ac:dyDescent="0.25"/>
    <row r="198" ht="15.95" customHeight="1" x14ac:dyDescent="0.25"/>
    <row r="199" ht="15.95" customHeight="1" x14ac:dyDescent="0.25"/>
    <row r="200" ht="15.95" customHeight="1" x14ac:dyDescent="0.25"/>
    <row r="201" ht="15.95" customHeight="1" x14ac:dyDescent="0.25"/>
    <row r="202" ht="15.95" customHeight="1" x14ac:dyDescent="0.25"/>
    <row r="203" ht="15.95" customHeight="1" x14ac:dyDescent="0.25"/>
    <row r="204" ht="15.95" customHeight="1" x14ac:dyDescent="0.25"/>
    <row r="205" ht="15.95" customHeight="1" x14ac:dyDescent="0.25"/>
    <row r="206" ht="15.95" customHeight="1" x14ac:dyDescent="0.25"/>
    <row r="207" ht="15.95" customHeight="1" x14ac:dyDescent="0.25"/>
    <row r="208" ht="15.95" customHeight="1" x14ac:dyDescent="0.25"/>
    <row r="209" ht="15.95" customHeight="1" x14ac:dyDescent="0.25"/>
    <row r="210" ht="15.95" customHeight="1" x14ac:dyDescent="0.25"/>
    <row r="211" ht="15.95" customHeight="1" x14ac:dyDescent="0.25"/>
    <row r="212" ht="15.95" customHeight="1" x14ac:dyDescent="0.25"/>
    <row r="213" ht="15.95" customHeight="1" x14ac:dyDescent="0.25"/>
    <row r="214" ht="15.95" customHeight="1" x14ac:dyDescent="0.25"/>
    <row r="215" ht="15.95" customHeight="1" x14ac:dyDescent="0.25"/>
    <row r="216" ht="15.95" customHeight="1" x14ac:dyDescent="0.25"/>
    <row r="217" ht="15.95" customHeight="1" x14ac:dyDescent="0.25"/>
    <row r="218" ht="15.95" customHeight="1" x14ac:dyDescent="0.25"/>
    <row r="219" ht="15.95" customHeight="1" x14ac:dyDescent="0.25"/>
    <row r="220" ht="15.95" customHeight="1" x14ac:dyDescent="0.25"/>
    <row r="221" ht="15.95" customHeight="1" x14ac:dyDescent="0.25"/>
    <row r="222" ht="15.95" customHeight="1" x14ac:dyDescent="0.25"/>
    <row r="223" ht="15.95" customHeight="1" x14ac:dyDescent="0.25"/>
    <row r="224" ht="15.95" customHeight="1" x14ac:dyDescent="0.25"/>
    <row r="225" ht="15.95" customHeight="1" x14ac:dyDescent="0.25"/>
    <row r="226" ht="15.95" customHeight="1" x14ac:dyDescent="0.25"/>
    <row r="227" ht="15.95" customHeight="1" x14ac:dyDescent="0.25"/>
    <row r="228" ht="15.95" customHeight="1" x14ac:dyDescent="0.25"/>
    <row r="229" ht="15.95" customHeight="1" x14ac:dyDescent="0.25"/>
    <row r="230" ht="15.95" customHeight="1" x14ac:dyDescent="0.25"/>
    <row r="231" ht="15.95" customHeight="1" x14ac:dyDescent="0.25"/>
    <row r="232" ht="15.95" customHeight="1" x14ac:dyDescent="0.25"/>
    <row r="233" ht="15.95" customHeight="1" x14ac:dyDescent="0.25"/>
    <row r="234" ht="15.95" customHeight="1" x14ac:dyDescent="0.25"/>
    <row r="235" ht="15.95" customHeight="1" x14ac:dyDescent="0.25"/>
    <row r="236" ht="15.95" customHeight="1" x14ac:dyDescent="0.25"/>
    <row r="237" ht="15.95" customHeight="1" x14ac:dyDescent="0.25"/>
    <row r="238" ht="15.95" customHeight="1" x14ac:dyDescent="0.25"/>
    <row r="239" ht="15.95" customHeight="1" x14ac:dyDescent="0.25"/>
    <row r="240" ht="15.95" customHeight="1" x14ac:dyDescent="0.25"/>
    <row r="241" ht="15.95" customHeight="1" x14ac:dyDescent="0.25"/>
    <row r="242" ht="15.95" customHeight="1" x14ac:dyDescent="0.25"/>
    <row r="243" ht="15.95" customHeight="1" x14ac:dyDescent="0.25"/>
    <row r="244" ht="15.95" customHeight="1" x14ac:dyDescent="0.25"/>
    <row r="245" ht="15.95" customHeight="1" x14ac:dyDescent="0.25"/>
    <row r="246" ht="15.95" customHeight="1" x14ac:dyDescent="0.25"/>
    <row r="247" ht="15.95" customHeight="1" x14ac:dyDescent="0.25"/>
    <row r="248" ht="15.95" customHeight="1" x14ac:dyDescent="0.25"/>
    <row r="249" ht="15.95" customHeight="1" x14ac:dyDescent="0.25"/>
    <row r="250" ht="15.95" customHeight="1" x14ac:dyDescent="0.25"/>
    <row r="251" ht="15.95" customHeight="1" x14ac:dyDescent="0.25"/>
    <row r="252" ht="15.95" customHeight="1" x14ac:dyDescent="0.25"/>
    <row r="253" ht="15.95" customHeight="1" x14ac:dyDescent="0.25"/>
    <row r="254" ht="15.95" customHeight="1" x14ac:dyDescent="0.25"/>
    <row r="255" ht="15.95" customHeight="1" x14ac:dyDescent="0.25"/>
    <row r="256" ht="15.95" customHeight="1" x14ac:dyDescent="0.25"/>
    <row r="257" ht="15.95" customHeight="1" x14ac:dyDescent="0.25"/>
    <row r="258" ht="15.95" customHeight="1" x14ac:dyDescent="0.25"/>
    <row r="259" ht="15.95" customHeight="1" x14ac:dyDescent="0.25"/>
    <row r="260" ht="15.95" customHeight="1" x14ac:dyDescent="0.25"/>
  </sheetData>
  <sortState xmlns:xlrd2="http://schemas.microsoft.com/office/spreadsheetml/2017/richdata2" ref="B5:B16">
    <sortCondition ref="B5:B16"/>
  </sortState>
  <phoneticPr fontId="6" type="noConversion"/>
  <conditionalFormatting sqref="B5:E16">
    <cfRule type="expression" dxfId="9" priority="1">
      <formula>OR($C5=1,$C5=2)</formula>
    </cfRule>
  </conditionalFormatting>
  <dataValidations count="1">
    <dataValidation type="list" allowBlank="1" showInputMessage="1" showErrorMessage="1" sqref="E22:K22 M22:O22 Q22:S22 U22:X22 E24:K24 M24:O24 Q24:S24 U24:X24 U26:X26 E26:K26 M26:O26 Q26:S26 U28:X28 M28:O28 E28:K28 Q28:S28 U30:X30 M30:O30 E30:K30 Q30:S30 C22:C35 E32:K32 U32:X32 M32:O32 Q32:S32 E34:K34 U34:X34 M34:O34 Q34:S34" xr:uid="{C7057804-2B8E-4928-9DE4-1D2699775780}">
      <formula1>Kategorien</formula1>
    </dataValidation>
  </dataValidation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Kategorien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Rundel</dc:creator>
  <cp:lastModifiedBy>Felix Rundel</cp:lastModifiedBy>
  <dcterms:created xsi:type="dcterms:W3CDTF">2015-06-05T18:19:34Z</dcterms:created>
  <dcterms:modified xsi:type="dcterms:W3CDTF">2026-04-27T07:28:31Z</dcterms:modified>
</cp:coreProperties>
</file>